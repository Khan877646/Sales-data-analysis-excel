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FF3F958D-0B83-4B7C-8FC2-6F489FCBB88B}" xr6:coauthVersionLast="47" xr6:coauthVersionMax="47" xr10:uidLastSave="{00000000-0000-0000-0000-000000000000}"/>
  <bookViews>
    <workbookView xWindow="-108" yWindow="-108" windowWidth="19416" windowHeight="10416" firstSheet="1" activeTab="6" xr2:uid="{00000000-000D-0000-FFFF-FFFF00000000}"/>
  </bookViews>
  <sheets>
    <sheet name="Data" sheetId="1" r:id="rId1"/>
    <sheet name="Analysis" sheetId="2" r:id="rId2"/>
    <sheet name="Pivot_Product" sheetId="3" r:id="rId3"/>
    <sheet name="Pivot_Region" sheetId="4" r:id="rId4"/>
    <sheet name="Pivot_Category" sheetId="5" r:id="rId5"/>
    <sheet name="Pivot_Monthly" sheetId="6" r:id="rId6"/>
    <sheet name="Dashboard" sheetId="8" r:id="rId7"/>
  </sheets>
  <externalReferences>
    <externalReference r:id="rId8"/>
  </externalReferences>
  <definedNames>
    <definedName name="_xlchart.v1.0" hidden="1">[1]Sheet2!$E$15:$E$26</definedName>
    <definedName name="_xlchart.v1.1" hidden="1">[1]Sheet2!$F$14</definedName>
    <definedName name="_xlchart.v1.2" hidden="1">[1]Sheet2!$F$15:$F$26</definedName>
    <definedName name="_xlchart.v1.3" hidden="1">[1]Sheet2!$B$18:$B$20</definedName>
    <definedName name="_xlchart.v1.4" hidden="1">[1]Sheet2!$C$17</definedName>
    <definedName name="_xlchart.v1.5" hidden="1">[1]Sheet2!$C$18:$C$20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64" i="2"/>
  <c r="B65" i="2"/>
  <c r="B66" i="2"/>
  <c r="B67" i="2"/>
  <c r="B68" i="2"/>
  <c r="B69" i="2"/>
  <c r="B70" i="2"/>
  <c r="B71" i="2"/>
  <c r="B72" i="2"/>
  <c r="B63" i="2"/>
  <c r="B51" i="2"/>
  <c r="B52" i="2"/>
  <c r="B53" i="2"/>
  <c r="B54" i="2"/>
  <c r="B55" i="2"/>
  <c r="B56" i="2"/>
  <c r="B57" i="2"/>
  <c r="B58" i="2"/>
  <c r="B59" i="2"/>
  <c r="B50" i="2"/>
  <c r="C36" i="2" a="1"/>
  <c r="C36" i="2" s="1"/>
  <c r="C37" i="2" a="1"/>
  <c r="C37" i="2"/>
  <c r="C38" i="2" a="1"/>
  <c r="C38" i="2" s="1"/>
  <c r="C39" i="2" a="1"/>
  <c r="C39" i="2" s="1"/>
  <c r="C40" i="2" a="1"/>
  <c r="C40" i="2" s="1"/>
  <c r="C41" i="2" a="1"/>
  <c r="C41" i="2"/>
  <c r="C42" i="2" a="1"/>
  <c r="C42" i="2" s="1"/>
  <c r="C43" i="2" a="1"/>
  <c r="C43" i="2"/>
  <c r="C44" i="2" a="1"/>
  <c r="C44" i="2" s="1"/>
  <c r="C45" i="2" a="1"/>
  <c r="C45" i="2"/>
  <c r="C46" i="2" a="1"/>
  <c r="C46" i="2" s="1"/>
  <c r="C35" i="2" a="1"/>
  <c r="C35" i="2" s="1"/>
  <c r="B36" i="2" a="1"/>
  <c r="B36" i="2" s="1"/>
  <c r="B37" i="2" a="1"/>
  <c r="B37" i="2"/>
  <c r="B38" i="2" a="1"/>
  <c r="B38" i="2" s="1"/>
  <c r="B39" i="2" a="1"/>
  <c r="B39" i="2"/>
  <c r="B40" i="2" a="1"/>
  <c r="B40" i="2" s="1"/>
  <c r="B41" i="2" a="1"/>
  <c r="B41" i="2"/>
  <c r="B42" i="2" a="1"/>
  <c r="B42" i="2" s="1"/>
  <c r="B43" i="2" a="1"/>
  <c r="B43" i="2"/>
  <c r="B44" i="2" a="1"/>
  <c r="B44" i="2" s="1"/>
  <c r="B45" i="2" a="1"/>
  <c r="B45" i="2" s="1"/>
  <c r="B46" i="2" a="1"/>
  <c r="B46" i="2" s="1"/>
  <c r="B35" i="2" a="1"/>
  <c r="B35" i="2" s="1"/>
  <c r="D30" i="2"/>
  <c r="D31" i="2"/>
  <c r="D29" i="2"/>
  <c r="C30" i="2"/>
  <c r="C31" i="2"/>
  <c r="C29" i="2"/>
  <c r="B30" i="2"/>
  <c r="B31" i="2"/>
  <c r="B29" i="2"/>
  <c r="D23" i="2"/>
  <c r="D24" i="2"/>
  <c r="D25" i="2"/>
  <c r="D22" i="2"/>
  <c r="C23" i="2"/>
  <c r="C24" i="2"/>
  <c r="C25" i="2"/>
  <c r="C22" i="2"/>
  <c r="B23" i="2"/>
  <c r="B24" i="2"/>
  <c r="B25" i="2"/>
  <c r="B22" i="2"/>
  <c r="D10" i="2"/>
  <c r="D11" i="2"/>
  <c r="D12" i="2"/>
  <c r="D13" i="2"/>
  <c r="D14" i="2"/>
  <c r="D15" i="2"/>
  <c r="D16" i="2"/>
  <c r="D17" i="2"/>
  <c r="D18" i="2"/>
  <c r="D9" i="2"/>
  <c r="C10" i="2"/>
  <c r="C11" i="2"/>
  <c r="C12" i="2"/>
  <c r="C13" i="2"/>
  <c r="C14" i="2"/>
  <c r="C15" i="2"/>
  <c r="C16" i="2"/>
  <c r="C17" i="2"/>
  <c r="C18" i="2"/>
  <c r="C9" i="2"/>
  <c r="B10" i="2"/>
  <c r="B11" i="2"/>
  <c r="B12" i="2"/>
  <c r="B13" i="2"/>
  <c r="B14" i="2"/>
  <c r="B15" i="2"/>
  <c r="B16" i="2"/>
  <c r="B17" i="2"/>
  <c r="B18" i="2"/>
  <c r="B9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<sst xmlns="http://schemas.openxmlformats.org/spreadsheetml/2006/main" count="2141" uniqueCount="570">
  <si>
    <t>Order ID</t>
  </si>
  <si>
    <t>Date</t>
  </si>
  <si>
    <t>Product</t>
  </si>
  <si>
    <t>Category</t>
  </si>
  <si>
    <t>Region</t>
  </si>
  <si>
    <t>Quantity</t>
  </si>
  <si>
    <t>Sales</t>
  </si>
  <si>
    <t>Profit</t>
  </si>
  <si>
    <t>ORD0001</t>
  </si>
  <si>
    <t>24 inch Monitor</t>
  </si>
  <si>
    <t>Electronics</t>
  </si>
  <si>
    <t>South</t>
  </si>
  <si>
    <t>ORD0002</t>
  </si>
  <si>
    <t>Webcam</t>
  </si>
  <si>
    <t>West</t>
  </si>
  <si>
    <t>ORD0003</t>
  </si>
  <si>
    <t>Keyboard</t>
  </si>
  <si>
    <t>Accessories</t>
  </si>
  <si>
    <t>ORD0004</t>
  </si>
  <si>
    <t>Desk</t>
  </si>
  <si>
    <t>Furniture</t>
  </si>
  <si>
    <t>East</t>
  </si>
  <si>
    <t>ORD0005</t>
  </si>
  <si>
    <t>Wireless Mouse</t>
  </si>
  <si>
    <t>ORD0006</t>
  </si>
  <si>
    <t>Office Chair</t>
  </si>
  <si>
    <t>ORD0007</t>
  </si>
  <si>
    <t>USB Hub</t>
  </si>
  <si>
    <t>ORD0008</t>
  </si>
  <si>
    <t>ORD0009</t>
  </si>
  <si>
    <t>North</t>
  </si>
  <si>
    <t>ORD0010</t>
  </si>
  <si>
    <t>Headphones</t>
  </si>
  <si>
    <t>ORD0011</t>
  </si>
  <si>
    <t>ORD0012</t>
  </si>
  <si>
    <t>ORD0013</t>
  </si>
  <si>
    <t>ORD0014</t>
  </si>
  <si>
    <t>ORD0015</t>
  </si>
  <si>
    <t>ORD0016</t>
  </si>
  <si>
    <t>Printer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</si>
  <si>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</si>
  <si>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</si>
  <si>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</si>
  <si>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</si>
  <si>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</si>
  <si>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</si>
  <si>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</si>
  <si>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</si>
  <si>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</si>
  <si>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</si>
  <si>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</si>
  <si>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</si>
  <si>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</si>
  <si>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</si>
  <si>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</si>
  <si>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Laptop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</si>
  <si>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</si>
  <si>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</si>
  <si>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</si>
  <si>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</si>
  <si>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</si>
  <si>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</si>
  <si>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</si>
  <si>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</si>
  <si>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</si>
  <si>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</si>
  <si>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</si>
  <si>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</si>
  <si>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</si>
  <si>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</si>
  <si>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</si>
  <si>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</si>
  <si>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</si>
  <si>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</si>
  <si>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</si>
  <si>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</si>
  <si>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</si>
  <si>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</si>
  <si>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</si>
  <si>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</si>
  <si>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</si>
  <si>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</si>
  <si>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</si>
  <si>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</si>
  <si>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</si>
  <si>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</si>
  <si>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</si>
  <si>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</si>
  <si>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</si>
  <si>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</si>
  <si>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</si>
  <si>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</si>
  <si>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</si>
  <si>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</si>
  <si>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</si>
  <si>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</si>
  <si>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</si>
  <si>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</si>
  <si>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</si>
  <si>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</si>
  <si>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</si>
  <si>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</si>
  <si>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</si>
  <si>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</si>
  <si>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</si>
  <si>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</si>
  <si>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</si>
  <si>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</si>
  <si>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</si>
  <si>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</si>
  <si>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</si>
  <si>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</si>
  <si>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</si>
  <si>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</si>
  <si>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</si>
  <si>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</si>
  <si>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</si>
  <si>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</si>
  <si>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</si>
  <si>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</si>
  <si>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</si>
  <si>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</si>
  <si>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</si>
  <si>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</si>
  <si>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</si>
  <si>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</si>
  <si>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</si>
  <si>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</si>
  <si>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</si>
  <si>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</si>
  <si>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</si>
  <si>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</si>
  <si>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</si>
  <si>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</si>
  <si>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</si>
  <si>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</si>
  <si>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</si>
  <si>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</si>
  <si>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</si>
  <si>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</si>
  <si>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</si>
  <si>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</si>
  <si>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</si>
  <si>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</si>
  <si>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</si>
  <si>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</si>
  <si>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</si>
  <si>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</si>
  <si>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</si>
  <si>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</si>
  <si>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</si>
  <si>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</si>
  <si>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</si>
  <si>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</si>
  <si>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</si>
  <si>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</si>
  <si>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</si>
  <si>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</si>
  <si>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</si>
  <si>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</si>
  <si>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</si>
  <si>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</si>
  <si>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</si>
  <si>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</si>
  <si>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</si>
  <si>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</si>
  <si>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</si>
  <si>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</si>
  <si>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</si>
  <si>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</si>
  <si>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</si>
  <si>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</si>
  <si>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</si>
  <si>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</si>
  <si>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</si>
  <si>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</si>
  <si>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</si>
  <si>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</si>
  <si>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</si>
  <si>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</si>
  <si>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</si>
  <si>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</si>
  <si>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</si>
  <si>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</si>
  <si>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</si>
  <si>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</si>
  <si>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</si>
  <si>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</si>
  <si>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</si>
  <si>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</si>
  <si>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</si>
  <si>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</si>
  <si>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</si>
  <si>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</si>
  <si>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</si>
  <si>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</si>
  <si>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</si>
  <si>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</si>
  <si>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</si>
  <si>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</si>
  <si>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</si>
  <si>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</si>
  <si>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</si>
  <si>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</si>
  <si>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</si>
  <si>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</si>
  <si>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</si>
  <si>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</si>
  <si>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</si>
  <si>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</si>
  <si>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</si>
  <si>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</si>
  <si>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</si>
  <si>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</si>
  <si>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</si>
  <si>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</si>
  <si>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</si>
  <si>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</si>
  <si>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</si>
  <si>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</si>
  <si>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</si>
  <si>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</si>
  <si>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</si>
  <si>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</si>
  <si>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</si>
  <si>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</si>
  <si>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</si>
  <si>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</si>
  <si>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</si>
  <si>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</si>
  <si>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</si>
  <si>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</si>
  <si>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</si>
  <si>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</si>
  <si>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</si>
  <si>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</si>
  <si>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</si>
  <si>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</si>
  <si>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</si>
  <si>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</si>
  <si>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</si>
  <si>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</si>
  <si>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</si>
  <si>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</si>
  <si>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</si>
  <si>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</si>
  <si>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</si>
  <si>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</si>
  <si>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</si>
  <si>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</si>
  <si>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</si>
  <si>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</si>
  <si>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</si>
  <si>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</si>
  <si>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</si>
  <si>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</si>
  <si>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</si>
  <si>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</si>
  <si>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</si>
  <si>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</si>
  <si>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</si>
  <si>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</si>
  <si>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</si>
  <si>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</si>
  <si>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</si>
  <si>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</si>
  <si>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</si>
  <si>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</si>
  <si>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</si>
  <si>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</si>
  <si>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</si>
  <si>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</si>
  <si>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</si>
  <si>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</si>
  <si>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</si>
  <si>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</si>
  <si>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</si>
  <si>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</si>
  <si>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</si>
  <si>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</si>
  <si>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</si>
  <si>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</si>
  <si>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</si>
  <si>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</si>
  <si>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</si>
  <si>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</si>
  <si>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</si>
  <si>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</si>
  <si>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</si>
  <si>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</si>
  <si>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</si>
  <si>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</si>
  <si>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</si>
  <si>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</si>
  <si>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</si>
  <si>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</si>
  <si>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</si>
  <si>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</si>
  <si>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</si>
  <si>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</si>
  <si>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</si>
  <si>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</si>
  <si>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</si>
  <si>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</si>
  <si>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</si>
  <si>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</si>
  <si>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</si>
  <si>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</si>
  <si>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</si>
  <si>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</si>
  <si>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</si>
  <si>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</si>
  <si>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</si>
  <si>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</si>
  <si>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</si>
  <si>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</si>
  <si>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</si>
  <si>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</si>
  <si>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</si>
  <si>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</si>
  <si>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</si>
  <si>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</si>
  <si>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</si>
  <si>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</si>
  <si>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</si>
  <si>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</si>
  <si>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</si>
  <si>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</si>
  <si>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</si>
  <si>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</si>
  <si>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</si>
  <si>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</si>
  <si>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</si>
  <si>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</si>
  <si>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</si>
  <si>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</si>
  <si>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</si>
  <si>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</si>
  <si>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</si>
  <si>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</si>
  <si>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</si>
  <si>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</si>
  <si>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</si>
  <si>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</si>
  <si>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</si>
  <si>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</si>
  <si>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</si>
  <si>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</si>
  <si>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</si>
  <si>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</si>
  <si>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</si>
  <si>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</si>
  <si>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</si>
  <si>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</si>
  <si>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</si>
  <si>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</si>
  <si>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</si>
  <si>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</si>
  <si>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</si>
  <si>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</si>
  <si>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</si>
  <si>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</si>
  <si>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</si>
  <si>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</si>
  <si>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</si>
  <si>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</si>
  <si>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</si>
  <si>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</si>
  <si>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</si>
  <si>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</si>
  <si>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</si>
  <si>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</si>
  <si>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</si>
  <si>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</si>
  <si>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</si>
  <si>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</si>
  <si>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</si>
  <si>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</si>
  <si>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</si>
  <si>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</si>
  <si>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</si>
  <si>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</si>
  <si>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</si>
  <si>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</si>
  <si>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</si>
  <si>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</si>
  <si>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</si>
  <si>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</si>
  <si>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</si>
  <si>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</si>
  <si>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</si>
  <si>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</si>
  <si>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</si>
  <si>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</si>
  <si>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</si>
  <si>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</si>
  <si>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</si>
  <si>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</si>
  <si>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</si>
  <si>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</si>
  <si>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</si>
  <si>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</si>
  <si>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</si>
  <si>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</si>
  <si>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</si>
  <si>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</si>
  <si>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</si>
  <si>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</si>
  <si>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</si>
  <si>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</si>
  <si>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</si>
  <si>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</si>
  <si>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</si>
  <si>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</si>
  <si>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</si>
  <si>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</si>
  <si>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</si>
  <si>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</si>
  <si>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</si>
  <si>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</si>
  <si>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</si>
  <si>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</si>
  <si>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</si>
  <si>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</si>
  <si>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</si>
  <si>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</si>
  <si>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</si>
  <si>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</si>
  <si>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</si>
  <si>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</si>
  <si>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</si>
  <si>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</si>
  <si>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</si>
  <si>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</si>
  <si>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</si>
  <si>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</si>
  <si>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</si>
  <si>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</si>
  <si>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</si>
  <si>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</si>
  <si>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</si>
  <si>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</si>
  <si>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</si>
  <si>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</si>
  <si>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</si>
  <si>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</si>
  <si>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</si>
  <si>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</si>
  <si>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</si>
  <si>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</si>
  <si>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</si>
  <si>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</si>
  <si>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</si>
  <si>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</si>
  <si>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</si>
  <si>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</si>
  <si>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</si>
  <si>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</si>
  <si>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</si>
  <si>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</si>
  <si>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</si>
  <si>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</si>
  <si>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</si>
  <si>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</si>
  <si>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</si>
  <si>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</si>
  <si>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</si>
  <si>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</si>
  <si>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</si>
  <si>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</si>
  <si>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</si>
  <si>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</si>
  <si>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</si>
  <si>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</si>
  <si>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</si>
  <si>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</si>
  <si>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</si>
  <si>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</si>
  <si>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</si>
  <si>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</si>
  <si>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</si>
  <si>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</si>
  <si>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</si>
  <si>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</si>
  <si>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</si>
  <si>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</si>
  <si>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</si>
  <si>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</si>
  <si>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</si>
  <si>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</si>
  <si>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</si>
  <si>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</si>
  <si>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</si>
  <si>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</si>
  <si>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</si>
  <si>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</si>
  <si>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</si>
  <si>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</si>
  <si>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</si>
  <si>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</si>
  <si>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</si>
  <si>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</si>
  <si>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</si>
  <si>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</si>
  <si>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</si>
  <si>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</si>
  <si>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</si>
  <si>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</si>
  <si>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</si>
  <si>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</si>
  <si>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</si>
  <si>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</si>
  <si>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</si>
  <si>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</si>
  <si>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</si>
  <si>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</si>
  <si>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</si>
  <si>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</si>
  <si>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</si>
  <si>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</si>
  <si>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</si>
  <si>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</si>
  <si>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</si>
  <si>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</si>
  <si>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</si>
  <si>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Total Orders</t>
  </si>
  <si>
    <t>Total Quantity Sold</t>
  </si>
  <si>
    <t>Total Sales</t>
  </si>
  <si>
    <t>Total Profit</t>
  </si>
  <si>
    <t>Total Quantity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</si>
  <si>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</si>
  <si>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</si>
  <si>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</si>
  <si>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</si>
  <si>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</si>
  <si>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</si>
  <si>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</si>
  <si>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</si>
  <si>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</si>
  <si>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</si>
  <si>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</si>
  <si>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</si>
  <si>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</si>
  <si>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Table 1 Overall KPIs</t>
  </si>
  <si>
    <t>Table 2 Sales by Product</t>
  </si>
  <si>
    <t>Table 3 Sales by Region</t>
  </si>
  <si>
    <t>Table 4 Sales by Category</t>
  </si>
  <si>
    <t>Table 5 Monthly Sales</t>
  </si>
  <si>
    <t>Table 6 Product Sales Summary</t>
  </si>
  <si>
    <t>Table 7 Profit by Product</t>
  </si>
  <si>
    <t>Row Labels</t>
  </si>
  <si>
    <t>Grand Total</t>
  </si>
  <si>
    <t>Sum of Sales</t>
  </si>
  <si>
    <t>Sum of Profit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</si>
  <si>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</si>
  <si>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</si>
  <si>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</si>
  <si>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</si>
  <si>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</si>
  <si>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</si>
  <si>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</si>
  <si>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</si>
  <si>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</si>
  <si>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</si>
  <si>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</si>
  <si>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Sales  &amp; Profit by Product</t>
  </si>
  <si>
    <t>Sales &amp; Profit by Region</t>
  </si>
  <si>
    <t>Sales &amp; Profit by Category</t>
  </si>
  <si>
    <t>Monthly Sales &amp; Profit</t>
  </si>
  <si>
    <r>
      <t xml:space="preserve">                                   </t>
    </r>
    <r>
      <rPr>
        <b/>
        <sz val="12"/>
        <color theme="1"/>
        <rFont val="Calibri"/>
        <family val="2"/>
        <scheme val="minor"/>
      </rPr>
      <t>KIPs Cards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</si>
</sst>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right"/>
    </xf>
    <xf numFmtId="0" fontId="2" fillId="0" borderId="0" xfId="0" applyFont="1"/>
    <xf numFmtId="3" fontId="3" fillId="0" borderId="0" xfId="0" applyNumberFormat="1" applyFont="1"/>
    <xf numFmtId="4" fontId="3" fillId="0" borderId="0" xfId="0" applyNumberFormat="1" applyFont="1"/>
    <xf numFmtId="0" fontId="5" fillId="4" borderId="2" xfId="0" applyFont="1" applyFill="1" applyBorder="1"/>
    <xf numFmtId="0" fontId="5" fillId="0" borderId="0" xfId="0" applyFont="1"/>
    <xf numFmtId="43" fontId="0" fillId="0" borderId="0" xfId="1" applyFont="1" applyFill="1" applyBorder="1"/>
    <xf numFmtId="43" fontId="0" fillId="0" borderId="0" xfId="1" applyFont="1" applyFill="1" applyBorder="1" applyAlignment="1">
      <alignment horizontal="right"/>
    </xf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5" fillId="3" borderId="1" xfId="0" applyFont="1" applyFill="1" applyBorder="1"/>
    <xf numFmtId="0" fontId="5" fillId="2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4" fontId="5" fillId="5" borderId="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Product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[1]Sheet2!$A$3:$A$12</c:f>
              <c:strCache>
                <c:ptCount val="10"/>
                <c:pt idx="0">
                  <c:v>24 inch Monitor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Office Chair</c:v>
                </c:pt>
                <c:pt idx="6">
                  <c:v>Printer</c:v>
                </c:pt>
                <c:pt idx="7">
                  <c:v>USB Hub</c:v>
                </c:pt>
                <c:pt idx="8">
                  <c:v>Webcam</c:v>
                </c:pt>
                <c:pt idx="9">
                  <c:v>Wireless Mouse</c:v>
                </c:pt>
              </c:strCache>
            </c:strRef>
          </c:cat>
          <c:val>
            <c:numRef>
              <c:f>[1]Sheet2!$B$3:$B$12</c:f>
              <c:numCache>
                <c:formatCode>General</c:formatCode>
                <c:ptCount val="10"/>
                <c:pt idx="0">
                  <c:v>40956.999999999993</c:v>
                </c:pt>
                <c:pt idx="1">
                  <c:v>62800.05</c:v>
                </c:pt>
                <c:pt idx="2">
                  <c:v>14798.380000000003</c:v>
                </c:pt>
                <c:pt idx="3">
                  <c:v>7970.6600000000008</c:v>
                </c:pt>
                <c:pt idx="4">
                  <c:v>129730.52000000003</c:v>
                </c:pt>
                <c:pt idx="5">
                  <c:v>51194.250000000015</c:v>
                </c:pt>
                <c:pt idx="6">
                  <c:v>36156.89</c:v>
                </c:pt>
                <c:pt idx="7">
                  <c:v>7413.73</c:v>
                </c:pt>
                <c:pt idx="8">
                  <c:v>17155.04</c:v>
                </c:pt>
                <c:pt idx="9">
                  <c:v>6595.2800000000007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A-4723-B5A7-D14794898E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1281680"/>
        <c:axId val="1051283760"/>
      </c:barChart>
      <c:catAx>
        <c:axId val="105128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283760"/>
        <c:crosses val="autoZero"/>
        <c:auto val="1"/>
        <c:lblAlgn val="ctr"/>
        <c:lblOffset val="100"/>
        <c:noMultiLvlLbl val="0"/>
      </c:catAx>
      <c:valAx>
        <c:axId val="105128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28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02537182852144"/>
          <c:y val="0.15782407407407409"/>
          <c:w val="0.8521968503937007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[1]Sheet2!$F$7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[1]Sheet2!$E$8:$E$11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[1]Sheet2!$F$8:$F$11</c:f>
              <c:numCache>
                <c:formatCode>General</c:formatCode>
                <c:ptCount val="4"/>
                <c:pt idx="0">
                  <c:v>94036.480000000054</c:v>
                </c:pt>
                <c:pt idx="1">
                  <c:v>113374.46999999999</c:v>
                </c:pt>
                <c:pt idx="2">
                  <c:v>85396.839999999967</c:v>
                </c:pt>
                <c:pt idx="3">
                  <c:v>81964.009999999995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8-4192-A2D3-8208885D5E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9565712"/>
        <c:axId val="1089558640"/>
      </c:barChart>
      <c:catAx>
        <c:axId val="108956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58640"/>
        <c:crosses val="autoZero"/>
        <c:auto val="1"/>
        <c:lblAlgn val="ctr"/>
        <c:lblOffset val="100"/>
        <c:noMultiLvlLbl val="0"/>
      </c:catAx>
      <c:valAx>
        <c:axId val="108955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6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[1]Sheet2!$C$17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[1]Sheet2!$B$18:$B$20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[1]Sheet2!$C$18:$C$20</c:f>
              <c:numCache>
                <c:formatCode>General</c:formatCode>
                <c:ptCount val="3"/>
                <c:pt idx="0">
                  <c:v>36778.049999999981</c:v>
                </c:pt>
                <c:pt idx="1">
                  <c:v>223999.44999999992</c:v>
                </c:pt>
                <c:pt idx="2">
                  <c:v>113994.29999999997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B-4229-93A6-C81A798FEA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9560304"/>
        <c:axId val="1089557808"/>
      </c:barChart>
      <c:catAx>
        <c:axId val="108956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57808"/>
        <c:crosses val="autoZero"/>
        <c:auto val="1"/>
        <c:lblAlgn val="ctr"/>
        <c:lblOffset val="100"/>
        <c:noMultiLvlLbl val="0"/>
      </c:catAx>
      <c:valAx>
        <c:axId val="108955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6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[1]Sheet2!$F$14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[1]Sheet2!$E$15:$E$26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[1]Sheet2!$F$15:$F$26</c:f>
              <c:numCache>
                <c:formatCode>General</c:formatCode>
                <c:ptCount val="12"/>
                <c:pt idx="0">
                  <c:v>24899.799999999996</c:v>
                </c:pt>
                <c:pt idx="1">
                  <c:v>30153.03000000001</c:v>
                </c:pt>
                <c:pt idx="2">
                  <c:v>19529.989999999998</c:v>
                </c:pt>
                <c:pt idx="3">
                  <c:v>40479.12999999999</c:v>
                </c:pt>
                <c:pt idx="4">
                  <c:v>41506.310000000019</c:v>
                </c:pt>
                <c:pt idx="5">
                  <c:v>39508.090000000011</c:v>
                </c:pt>
                <c:pt idx="6">
                  <c:v>25939.469999999998</c:v>
                </c:pt>
                <c:pt idx="7">
                  <c:v>23560.22</c:v>
                </c:pt>
                <c:pt idx="8">
                  <c:v>34100.969999999994</c:v>
                </c:pt>
                <c:pt idx="9">
                  <c:v>20621.769999999993</c:v>
                </c:pt>
                <c:pt idx="10">
                  <c:v>32746.77</c:v>
                </c:pt>
                <c:pt idx="11">
                  <c:v>41726.25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B-4A39-8A52-06FCE84FAD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0155488"/>
        <c:axId val="1210152160"/>
      </c:barChart>
      <c:catAx>
        <c:axId val="121015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152160"/>
        <c:crosses val="autoZero"/>
        <c:auto val="1"/>
        <c:lblAlgn val="ctr"/>
        <c:lblOffset val="100"/>
        <c:noMultiLvlLbl val="0"/>
      </c:catAx>
      <c:valAx>
        <c:axId val="121015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15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5</xdr:col>
      <xdr:colOff>595745</xdr:colOff>
      <xdr:row>23</xdr:row>
      <xdr:rowOff>27709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096451C-991F-4E79-863F-96434E09A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391886</xdr:colOff>
      <xdr:row>8</xdr:row>
      <xdr:rowOff>10886</xdr:rowOff>
    </xdr:from>
    <xdr:to>
      <xdr:col>14</xdr:col>
      <xdr:colOff>10886</xdr:colOff>
      <xdr:row>23</xdr:row>
      <xdr:rowOff>49481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F4C7356-85F0-407C-807C-DF51A1E3B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10885</xdr:colOff>
      <xdr:row>40</xdr:row>
      <xdr:rowOff>10886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469853F-D4DF-4459-8AA3-04048A1B6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391886</xdr:colOff>
      <xdr:row>25</xdr:row>
      <xdr:rowOff>10885</xdr:rowOff>
    </xdr:from>
    <xdr:to>
      <xdr:col>14</xdr:col>
      <xdr:colOff>0</xdr:colOff>
      <xdr:row>40</xdr:row>
      <xdr:rowOff>5938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58F851D-3269-4C78-AF96-EE73ADE3B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26894</xdr:colOff>
      <xdr:row>0</xdr:row>
      <xdr:rowOff>2</xdr:rowOff>
    </xdr:from>
    <xdr:to>
      <xdr:col>14</xdr:col>
      <xdr:colOff>0</xdr:colOff>
      <xdr:row>2</xdr:row>
      <xdr:rowOff>185058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C153297-CDEF-0AB8-0A30-B24B12737EA1}"/>
            </a:ext>
          </a:extLst>
        </xdr:cNvPr>
        <xdr:cNvSpPr/>
      </xdr:nvSpPr>
      <xdr:spPr>
        <a:xfrm>
          <a:off x="26894" y="2"/>
          <a:ext cx="9530763" cy="55517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Sales &amp; Product Performance Dashboard</a:t>
          </a:r>
        </a:p>
      </xdr:txBody>
    </xdr:sp>
    <xdr:clientData/>
  </xdr:twoCellAnchor>
  <xdr:twoCellAnchor editAs="oneCell">
    <xdr:from>
      <xdr:col>1</xdr:col>
      <xdr:colOff>880286</xdr:colOff>
      <xdr:row>0</xdr:row>
      <xdr:rowOff>23052</xdr:rowOff>
    </xdr:from>
    <xdr:to>
      <xdr:col>2</xdr:col>
      <xdr:colOff>450795</xdr:colOff>
      <xdr:row>2</xdr:row>
      <xdr:rowOff>147743</xdr:rowOff>
    </xdr:to>
    <xdr:pic>
      <xdr:nvPicPr>
        <xdr:cNvPr id="18" name="Graphic 17" descr="Bar graph with upward trend with solid fill">
          <a:extLst>
            <a:ext uri="{FF2B5EF4-FFF2-40B4-BE49-F238E27FC236}">
              <a16:creationId xmlns:a16="http://schemas.microsoft.com/office/drawing/2014/main" id="{6186F495-F854-C0BC-CDB8-46F8F52F9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729372" y="23052"/>
          <a:ext cx="484909" cy="4948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27711</xdr:rowOff>
    </xdr:from>
    <xdr:to>
      <xdr:col>14</xdr:col>
      <xdr:colOff>-1</xdr:colOff>
      <xdr:row>46</xdr:row>
      <xdr:rowOff>166256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CF54994-1749-246C-6692-0D83ADF96E35}"/>
            </a:ext>
          </a:extLst>
        </xdr:cNvPr>
        <xdr:cNvSpPr/>
      </xdr:nvSpPr>
      <xdr:spPr>
        <a:xfrm>
          <a:off x="0" y="7315202"/>
          <a:ext cx="9573490" cy="12191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400" b="1">
              <a:solidFill>
                <a:schemeClr val="tx1"/>
              </a:solidFill>
            </a:rPr>
            <a:t>                 Key Insights </a:t>
          </a:r>
          <a:r>
            <a:rPr lang="en-US" sz="2400" b="1" baseline="0">
              <a:solidFill>
                <a:schemeClr val="tx1"/>
              </a:solidFill>
            </a:rPr>
            <a:t>                               </a:t>
          </a:r>
          <a:r>
            <a:rPr lang="en-US" sz="1800" b="1" baseline="0">
              <a:solidFill>
                <a:schemeClr val="tx1"/>
              </a:solidFill>
            </a:rPr>
            <a:t>Laptop has the Highest total sales</a:t>
          </a:r>
        </a:p>
        <a:p>
          <a:pPr algn="ctr"/>
          <a:r>
            <a:rPr lang="en-US" sz="1800" b="1" baseline="0">
              <a:solidFill>
                <a:schemeClr val="tx1"/>
              </a:solidFill>
            </a:rPr>
            <a:t>                                                                        West has the lowest sales among all regions</a:t>
          </a:r>
        </a:p>
        <a:p>
          <a:pPr algn="ctr"/>
          <a:r>
            <a:rPr lang="en-US" sz="1800" b="1" baseline="0">
              <a:solidFill>
                <a:schemeClr val="tx1"/>
              </a:solidFill>
            </a:rPr>
            <a:t>                                                                         Electronics were Highest-Sales Category Segment </a:t>
          </a:r>
        </a:p>
        <a:p>
          <a:pPr algn="ctr"/>
          <a:endParaRPr lang="en-US" sz="1800" b="1">
            <a:solidFill>
              <a:schemeClr val="tx1"/>
            </a:solidFill>
          </a:endParaRPr>
        </a:p>
        <a:p>
          <a:pPr algn="ctr"/>
          <a:endParaRPr lang="en-US" sz="1100"/>
        </a:p>
      </xdr:txBody>
    </xdr:sp>
    <xdr:clientData/>
  </xdr:twoCellAnchor>
  <xdr:twoCellAnchor editAs="oneCell">
    <xdr:from>
      <xdr:col>1</xdr:col>
      <xdr:colOff>789710</xdr:colOff>
      <xdr:row>42</xdr:row>
      <xdr:rowOff>166257</xdr:rowOff>
    </xdr:from>
    <xdr:to>
      <xdr:col>2</xdr:col>
      <xdr:colOff>554182</xdr:colOff>
      <xdr:row>46</xdr:row>
      <xdr:rowOff>124693</xdr:rowOff>
    </xdr:to>
    <xdr:pic>
      <xdr:nvPicPr>
        <xdr:cNvPr id="4" name="Graphic 3" descr="Lightbulb and gear with solid fill">
          <a:extLst>
            <a:ext uri="{FF2B5EF4-FFF2-40B4-BE49-F238E27FC236}">
              <a16:creationId xmlns:a16="http://schemas.microsoft.com/office/drawing/2014/main" id="{8E8D91B5-EEC1-530E-1588-4456DAF37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648692" y="7813966"/>
          <a:ext cx="678872" cy="678872"/>
        </a:xfrm>
        <a:prstGeom prst="rect">
          <a:avLst/>
        </a:prstGeom>
      </xdr:spPr>
    </xdr:pic>
    <xdr:clientData/>
  </xdr:twoCellAnchor>
  <xdr:twoCellAnchor>
    <xdr:from>
      <xdr:col>3</xdr:col>
      <xdr:colOff>803564</xdr:colOff>
      <xdr:row>40</xdr:row>
      <xdr:rowOff>110836</xdr:rowOff>
    </xdr:from>
    <xdr:to>
      <xdr:col>3</xdr:col>
      <xdr:colOff>803564</xdr:colOff>
      <xdr:row>46</xdr:row>
      <xdr:rowOff>27710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D2EFBE9-1D8A-72A6-6F39-E3FBCCA84D58}"/>
            </a:ext>
          </a:extLst>
        </xdr:cNvPr>
        <xdr:cNvCxnSpPr/>
      </xdr:nvCxnSpPr>
      <xdr:spPr>
        <a:xfrm>
          <a:off x="3422073" y="7398327"/>
          <a:ext cx="0" cy="99752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OneDrive\Desktop\New%20Microsoft%20Excel%20Worksheet%20(2).xlsx" TargetMode="External"/><Relationship Id="rId1" Type="http://schemas.openxmlformats.org/officeDocument/2006/relationships/externalLinkPath" Target="New%20Microsoft%20Excel%20Worksheet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B2" t="str">
            <v>Sum of Sales</v>
          </cell>
        </row>
      </sheetData>
      <sheetData sheetId="1">
        <row r="3">
          <cell r="A3" t="str">
            <v>24 inch Monitor</v>
          </cell>
          <cell r="B3">
            <v>40956.999999999993</v>
          </cell>
        </row>
        <row r="4">
          <cell r="A4" t="str">
            <v>Desk</v>
          </cell>
          <cell r="B4">
            <v>62800.05</v>
          </cell>
        </row>
        <row r="5">
          <cell r="A5" t="str">
            <v>Headphones</v>
          </cell>
          <cell r="B5">
            <v>14798.380000000003</v>
          </cell>
        </row>
        <row r="6">
          <cell r="A6" t="str">
            <v>Keyboard</v>
          </cell>
          <cell r="B6">
            <v>7970.6600000000008</v>
          </cell>
        </row>
        <row r="7">
          <cell r="A7" t="str">
            <v>Laptop</v>
          </cell>
          <cell r="B7">
            <v>129730.52000000003</v>
          </cell>
          <cell r="F7" t="str">
            <v>Sum of Sales</v>
          </cell>
        </row>
        <row r="8">
          <cell r="A8" t="str">
            <v>Office Chair</v>
          </cell>
          <cell r="B8">
            <v>51194.250000000015</v>
          </cell>
          <cell r="E8" t="str">
            <v>East</v>
          </cell>
          <cell r="F8">
            <v>94036.480000000054</v>
          </cell>
        </row>
        <row r="9">
          <cell r="A9" t="str">
            <v>Printer</v>
          </cell>
          <cell r="B9">
            <v>36156.89</v>
          </cell>
          <cell r="E9" t="str">
            <v>North</v>
          </cell>
          <cell r="F9">
            <v>113374.46999999999</v>
          </cell>
        </row>
        <row r="10">
          <cell r="A10" t="str">
            <v>USB Hub</v>
          </cell>
          <cell r="B10">
            <v>7413.73</v>
          </cell>
          <cell r="E10" t="str">
            <v>South</v>
          </cell>
          <cell r="F10">
            <v>85396.839999999967</v>
          </cell>
        </row>
        <row r="11">
          <cell r="A11" t="str">
            <v>Webcam</v>
          </cell>
          <cell r="B11">
            <v>17155.04</v>
          </cell>
          <cell r="E11" t="str">
            <v>West</v>
          </cell>
          <cell r="F11">
            <v>81964.009999999995</v>
          </cell>
        </row>
        <row r="12">
          <cell r="A12" t="str">
            <v>Wireless Mouse</v>
          </cell>
          <cell r="B12">
            <v>6595.2800000000007</v>
          </cell>
        </row>
        <row r="14">
          <cell r="F14" t="str">
            <v>Sum of Sales</v>
          </cell>
        </row>
        <row r="15">
          <cell r="E15" t="str">
            <v>Jan</v>
          </cell>
          <cell r="F15">
            <v>24899.799999999996</v>
          </cell>
        </row>
        <row r="16">
          <cell r="E16" t="str">
            <v>Feb</v>
          </cell>
          <cell r="F16">
            <v>30153.03000000001</v>
          </cell>
        </row>
        <row r="17">
          <cell r="C17" t="str">
            <v>Sum of Sales</v>
          </cell>
          <cell r="E17" t="str">
            <v>Mar</v>
          </cell>
          <cell r="F17">
            <v>19529.989999999998</v>
          </cell>
        </row>
        <row r="18">
          <cell r="B18" t="str">
            <v>Accessories</v>
          </cell>
          <cell r="C18">
            <v>36778.049999999981</v>
          </cell>
          <cell r="E18" t="str">
            <v>Apr</v>
          </cell>
          <cell r="F18">
            <v>40479.12999999999</v>
          </cell>
        </row>
        <row r="19">
          <cell r="B19" t="str">
            <v>Electronics</v>
          </cell>
          <cell r="C19">
            <v>223999.44999999992</v>
          </cell>
          <cell r="E19" t="str">
            <v>May</v>
          </cell>
          <cell r="F19">
            <v>41506.310000000019</v>
          </cell>
        </row>
        <row r="20">
          <cell r="B20" t="str">
            <v>Furniture</v>
          </cell>
          <cell r="C20">
            <v>113994.29999999997</v>
          </cell>
          <cell r="E20" t="str">
            <v>Jun</v>
          </cell>
          <cell r="F20">
            <v>39508.090000000011</v>
          </cell>
        </row>
        <row r="21">
          <cell r="E21" t="str">
            <v>Jul</v>
          </cell>
          <cell r="F21">
            <v>25939.469999999998</v>
          </cell>
        </row>
        <row r="22">
          <cell r="E22" t="str">
            <v>Aug</v>
          </cell>
          <cell r="F22">
            <v>23560.22</v>
          </cell>
        </row>
        <row r="23">
          <cell r="E23" t="str">
            <v>Sep</v>
          </cell>
          <cell r="F23">
            <v>34100.969999999994</v>
          </cell>
        </row>
        <row r="24">
          <cell r="E24" t="str">
            <v>Oct</v>
          </cell>
          <cell r="F24">
            <v>20621.769999999993</v>
          </cell>
        </row>
        <row r="25">
          <cell r="E25" t="str">
            <v>Nov</v>
          </cell>
          <cell r="F25">
            <v>32746.77</v>
          </cell>
        </row>
        <row r="26">
          <cell r="E26" t="str">
            <v>Dec</v>
          </cell>
          <cell r="F26">
            <v>41726.25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8.721093171298" createdVersion="8" refreshedVersion="8" minRefreshableVersion="3" recordCount="500" xr:uid="{59EF344D-4197-41DB-B751-6830FD88BA6A}">
  <cacheSource type="worksheet">
    <worksheetSource ref="A1:H501" sheet="Data"/>
  </cacheSource>
  <cacheFields count="9">
    <cacheField name="Order ID" numFmtId="0">
      <sharedItems/>
    </cacheField>
    <cacheField name="Date" numFmtId="164">
      <sharedItems containsSemiMixedTypes="0" containsNonDate="0" containsDate="1" containsString="0" minDate="2025-01-02T00:00:00" maxDate="2025-12-31T00:00:00" count="274">
        <d v="2025-05-21T00:00:00"/>
        <d v="2025-10-30T00:00:00"/>
        <d v="2025-10-15T00:00:00"/>
        <d v="2025-08-18T00:00:00"/>
        <d v="2025-06-24T00:00:00"/>
        <d v="2025-02-17T00:00:00"/>
        <d v="2025-01-23T00:00:00"/>
        <d v="2025-10-10T00:00:00"/>
        <d v="2025-12-27T00:00:00"/>
        <d v="2025-04-30T00:00:00"/>
        <d v="2025-07-09T00:00:00"/>
        <d v="2025-10-01T00:00:00"/>
        <d v="2025-12-17T00:00:00"/>
        <d v="2025-06-11T00:00:00"/>
        <d v="2025-04-19T00:00:00"/>
        <d v="2025-05-16T00:00:00"/>
        <d v="2025-10-26T00:00:00"/>
        <d v="2025-02-16T00:00:00"/>
        <d v="2025-11-02T00:00:00"/>
        <d v="2025-10-11T00:00:00"/>
        <d v="2025-11-25T00:00:00"/>
        <d v="2025-05-15T00:00:00"/>
        <d v="2025-03-20T00:00:00"/>
        <d v="2025-11-03T00:00:00"/>
        <d v="2025-05-03T00:00:00"/>
        <d v="2025-09-06T00:00:00"/>
        <d v="2025-12-04T00:00:00"/>
        <d v="2025-09-22T00:00:00"/>
        <d v="2025-10-29T00:00:00"/>
        <d v="2025-02-04T00:00:00"/>
        <d v="2025-12-09T00:00:00"/>
        <d v="2025-05-05T00:00:00"/>
        <d v="2025-07-01T00:00:00"/>
        <d v="2025-02-01T00:00:00"/>
        <d v="2025-04-09T00:00:00"/>
        <d v="2025-08-25T00:00:00"/>
        <d v="2025-01-26T00:00:00"/>
        <d v="2025-07-28T00:00:00"/>
        <d v="2025-07-14T00:00:00"/>
        <d v="2025-08-05T00:00:00"/>
        <d v="2025-06-10T00:00:00"/>
        <d v="2025-01-30T00:00:00"/>
        <d v="2025-07-26T00:00:00"/>
        <d v="2025-11-14T00:00:00"/>
        <d v="2025-05-14T00:00:00"/>
        <d v="2025-03-09T00:00:00"/>
        <d v="2025-08-23T00:00:00"/>
        <d v="2025-06-28T00:00:00"/>
        <d v="2025-10-06T00:00:00"/>
        <d v="2025-12-08T00:00:00"/>
        <d v="2025-03-01T00:00:00"/>
        <d v="2025-06-25T00:00:00"/>
        <d v="2025-05-09T00:00:00"/>
        <d v="2025-01-02T00:00:00"/>
        <d v="2025-08-15T00:00:00"/>
        <d v="2025-07-03T00:00:00"/>
        <d v="2025-07-31T00:00:00"/>
        <d v="2025-05-17T00:00:00"/>
        <d v="2025-04-24T00:00:00"/>
        <d v="2025-04-25T00:00:00"/>
        <d v="2025-05-23T00:00:00"/>
        <d v="2025-01-15T00:00:00"/>
        <d v="2025-01-20T00:00:00"/>
        <d v="2025-11-07T00:00:00"/>
        <d v="2025-12-29T00:00:00"/>
        <d v="2025-07-06T00:00:00"/>
        <d v="2025-12-06T00:00:00"/>
        <d v="2025-06-17T00:00:00"/>
        <d v="2025-12-07T00:00:00"/>
        <d v="2025-07-27T00:00:00"/>
        <d v="2025-08-27T00:00:00"/>
        <d v="2025-01-13T00:00:00"/>
        <d v="2025-08-01T00:00:00"/>
        <d v="2025-03-17T00:00:00"/>
        <d v="2025-04-23T00:00:00"/>
        <d v="2025-10-13T00:00:00"/>
        <d v="2025-10-08T00:00:00"/>
        <d v="2025-05-13T00:00:00"/>
        <d v="2025-11-17T00:00:00"/>
        <d v="2025-05-20T00:00:00"/>
        <d v="2025-04-29T00:00:00"/>
        <d v="2025-07-19T00:00:00"/>
        <d v="2025-01-04T00:00:00"/>
        <d v="2025-09-07T00:00:00"/>
        <d v="2025-07-21T00:00:00"/>
        <d v="2025-08-29T00:00:00"/>
        <d v="2025-11-29T00:00:00"/>
        <d v="2025-04-13T00:00:00"/>
        <d v="2025-10-16T00:00:00"/>
        <d v="2025-10-24T00:00:00"/>
        <d v="2025-04-12T00:00:00"/>
        <d v="2025-12-23T00:00:00"/>
        <d v="2025-06-27T00:00:00"/>
        <d v="2025-08-04T00:00:00"/>
        <d v="2025-08-11T00:00:00"/>
        <d v="2025-02-14T00:00:00"/>
        <d v="2025-06-22T00:00:00"/>
        <d v="2025-12-20T00:00:00"/>
        <d v="2025-05-31T00:00:00"/>
        <d v="2025-08-31T00:00:00"/>
        <d v="2025-12-26T00:00:00"/>
        <d v="2025-04-21T00:00:00"/>
        <d v="2025-02-21T00:00:00"/>
        <d v="2025-12-24T00:00:00"/>
        <d v="2025-10-21T00:00:00"/>
        <d v="2025-05-10T00:00:00"/>
        <d v="2025-10-23T00:00:00"/>
        <d v="2025-05-08T00:00:00"/>
        <d v="2025-09-25T00:00:00"/>
        <d v="2025-06-06T00:00:00"/>
        <d v="2025-12-18T00:00:00"/>
        <d v="2025-08-06T00:00:00"/>
        <d v="2025-02-06T00:00:00"/>
        <d v="2025-08-13T00:00:00"/>
        <d v="2025-09-14T00:00:00"/>
        <d v="2025-11-06T00:00:00"/>
        <d v="2025-12-11T00:00:00"/>
        <d v="2025-09-23T00:00:00"/>
        <d v="2025-11-22T00:00:00"/>
        <d v="2025-06-14T00:00:00"/>
        <d v="2025-12-03T00:00:00"/>
        <d v="2025-05-28T00:00:00"/>
        <d v="2025-12-30T00:00:00"/>
        <d v="2025-04-26T00:00:00"/>
        <d v="2025-05-30T00:00:00"/>
        <d v="2025-08-22T00:00:00"/>
        <d v="2025-02-05T00:00:00"/>
        <d v="2025-03-18T00:00:00"/>
        <d v="2025-07-29T00:00:00"/>
        <d v="2025-11-16T00:00:00"/>
        <d v="2025-06-12T00:00:00"/>
        <d v="2025-11-20T00:00:00"/>
        <d v="2025-11-21T00:00:00"/>
        <d v="2025-06-16T00:00:00"/>
        <d v="2025-09-29T00:00:00"/>
        <d v="2025-02-10T00:00:00"/>
        <d v="2025-11-24T00:00:00"/>
        <d v="2025-07-16T00:00:00"/>
        <d v="2025-12-25T00:00:00"/>
        <d v="2025-01-05T00:00:00"/>
        <d v="2025-11-18T00:00:00"/>
        <d v="2025-01-18T00:00:00"/>
        <d v="2025-03-26T00:00:00"/>
        <d v="2025-02-28T00:00:00"/>
        <d v="2025-08-21T00:00:00"/>
        <d v="2025-11-23T00:00:00"/>
        <d v="2025-11-09T00:00:00"/>
        <d v="2025-09-10T00:00:00"/>
        <d v="2025-10-28T00:00:00"/>
        <d v="2025-05-24T00:00:00"/>
        <d v="2025-07-05T00:00:00"/>
        <d v="2025-07-23T00:00:00"/>
        <d v="2025-06-20T00:00:00"/>
        <d v="2025-03-31T00:00:00"/>
        <d v="2025-05-02T00:00:00"/>
        <d v="2025-09-27T00:00:00"/>
        <d v="2025-08-20T00:00:00"/>
        <d v="2025-07-15T00:00:00"/>
        <d v="2025-12-02T00:00:00"/>
        <d v="2025-10-12T00:00:00"/>
        <d v="2025-07-30T00:00:00"/>
        <d v="2025-11-08T00:00:00"/>
        <d v="2025-06-29T00:00:00"/>
        <d v="2025-03-14T00:00:00"/>
        <d v="2025-01-27T00:00:00"/>
        <d v="2025-09-20T00:00:00"/>
        <d v="2025-05-29T00:00:00"/>
        <d v="2025-03-08T00:00:00"/>
        <d v="2025-02-09T00:00:00"/>
        <d v="2025-02-22T00:00:00"/>
        <d v="2025-04-01T00:00:00"/>
        <d v="2025-12-15T00:00:00"/>
        <d v="2025-06-30T00:00:00"/>
        <d v="2025-05-27T00:00:00"/>
        <d v="2025-06-23T00:00:00"/>
        <d v="2025-02-18T00:00:00"/>
        <d v="2025-10-14T00:00:00"/>
        <d v="2025-11-27T00:00:00"/>
        <d v="2025-04-20T00:00:00"/>
        <d v="2025-03-21T00:00:00"/>
        <d v="2025-12-05T00:00:00"/>
        <d v="2025-06-08T00:00:00"/>
        <d v="2025-02-12T00:00:00"/>
        <d v="2025-01-28T00:00:00"/>
        <d v="2025-03-12T00:00:00"/>
        <d v="2025-01-25T00:00:00"/>
        <d v="2025-02-26T00:00:00"/>
        <d v="2025-03-15T00:00:00"/>
        <d v="2025-04-06T00:00:00"/>
        <d v="2025-01-09T00:00:00"/>
        <d v="2025-03-10T00:00:00"/>
        <d v="2025-01-19T00:00:00"/>
        <d v="2025-11-28T00:00:00"/>
        <d v="2025-07-17T00:00:00"/>
        <d v="2025-11-05T00:00:00"/>
        <d v="2025-01-16T00:00:00"/>
        <d v="2025-03-06T00:00:00"/>
        <d v="2025-10-18T00:00:00"/>
        <d v="2025-08-16T00:00:00"/>
        <d v="2025-03-11T00:00:00"/>
        <d v="2025-12-16T00:00:00"/>
        <d v="2025-06-03T00:00:00"/>
        <d v="2025-09-18T00:00:00"/>
        <d v="2025-11-10T00:00:00"/>
        <d v="2025-06-05T00:00:00"/>
        <d v="2025-03-29T00:00:00"/>
        <d v="2025-01-24T00:00:00"/>
        <d v="2025-09-12T00:00:00"/>
        <d v="2025-06-02T00:00:00"/>
        <d v="2025-09-05T00:00:00"/>
        <d v="2025-06-26T00:00:00"/>
        <d v="2025-06-13T00:00:00"/>
        <d v="2025-02-19T00:00:00"/>
        <d v="2025-03-23T00:00:00"/>
        <d v="2025-01-12T00:00:00"/>
        <d v="2025-09-17T00:00:00"/>
        <d v="2025-06-19T00:00:00"/>
        <d v="2025-01-10T00:00:00"/>
        <d v="2025-12-13T00:00:00"/>
        <d v="2025-07-22T00:00:00"/>
        <d v="2025-08-30T00:00:00"/>
        <d v="2025-06-04T00:00:00"/>
        <d v="2025-01-29T00:00:00"/>
        <d v="2025-05-11T00:00:00"/>
        <d v="2025-01-17T00:00:00"/>
        <d v="2025-09-28T00:00:00"/>
        <d v="2025-04-28T00:00:00"/>
        <d v="2025-04-16T00:00:00"/>
        <d v="2025-05-06T00:00:00"/>
        <d v="2025-03-13T00:00:00"/>
        <d v="2025-09-26T00:00:00"/>
        <d v="2025-04-05T00:00:00"/>
        <d v="2025-02-07T00:00:00"/>
        <d v="2025-09-03T00:00:00"/>
        <d v="2025-04-08T00:00:00"/>
        <d v="2025-02-20T00:00:00"/>
        <d v="2025-10-19T00:00:00"/>
        <d v="2025-09-08T00:00:00"/>
        <d v="2025-02-08T00:00:00"/>
        <d v="2025-11-13T00:00:00"/>
        <d v="2025-01-07T00:00:00"/>
        <d v="2025-09-15T00:00:00"/>
        <d v="2025-05-19T00:00:00"/>
        <d v="2025-04-02T00:00:00"/>
        <d v="2025-04-27T00:00:00"/>
        <d v="2025-02-13T00:00:00"/>
        <d v="2025-07-04T00:00:00"/>
        <d v="2025-10-20T00:00:00"/>
        <d v="2025-05-18T00:00:00"/>
        <d v="2025-11-01T00:00:00"/>
        <d v="2025-11-30T00:00:00"/>
        <d v="2025-10-22T00:00:00"/>
        <d v="2025-02-25T00:00:00"/>
        <d v="2025-01-06T00:00:00"/>
        <d v="2025-08-17T00:00:00"/>
        <d v="2025-11-11T00:00:00"/>
        <d v="2025-10-02T00:00:00"/>
        <d v="2025-12-10T00:00:00"/>
        <d v="2025-03-02T00:00:00"/>
        <d v="2025-08-03T00:00:00"/>
        <d v="2025-04-10T00:00:00"/>
        <d v="2025-08-14T00:00:00"/>
        <d v="2025-09-30T00:00:00"/>
        <d v="2025-08-08T00:00:00"/>
        <d v="2025-03-22T00:00:00"/>
        <d v="2025-12-19T00:00:00"/>
        <d v="2025-12-22T00:00:00"/>
        <d v="2025-11-12T00:00:00"/>
        <d v="2025-03-05T00:00:00"/>
        <d v="2025-05-22T00:00:00"/>
        <d v="2025-09-11T00:00:00"/>
        <d v="2025-07-10T00:00:00"/>
        <d v="2025-06-21T00:00:00"/>
        <d v="2025-07-08T00:00:00"/>
      </sharedItems>
      <fieldGroup par="8" base="1">
        <rangePr groupBy="days" startDate="2025-01-02T00:00:00" endDate="2025-12-31T00:00:00"/>
        <groupItems count="368">
          <s v="&lt;1/2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5"/>
        </groupItems>
      </fieldGroup>
    </cacheField>
    <cacheField name="Product" numFmtId="0">
      <sharedItems count="10">
        <s v="24 inch Monitor"/>
        <s v="Webcam"/>
        <s v="Keyboard"/>
        <s v="Desk"/>
        <s v="Wireless Mouse"/>
        <s v="Office Chair"/>
        <s v="USB Hub"/>
        <s v="Headphones"/>
        <s v="Printer"/>
        <s v="Laptop"/>
      </sharedItems>
    </cacheField>
    <cacheField name="Category" numFmtId="0">
      <sharedItems count="3">
        <s v="Electronics"/>
        <s v="Accessories"/>
        <s v="Furniture"/>
      </sharedItems>
    </cacheField>
    <cacheField name="Region" numFmtId="0">
      <sharedItems count="4">
        <s v="South"/>
        <s v="West"/>
        <s v="East"/>
        <s v="North"/>
      </sharedItems>
    </cacheField>
    <cacheField name="Quantity" numFmtId="0">
      <sharedItems containsSemiMixedTypes="0" containsString="0" containsNumber="1" containsInteger="1" minValue="1" maxValue="8"/>
    </cacheField>
    <cacheField name="Sales" numFmtId="0">
      <sharedItems containsSemiMixedTypes="0" containsString="0" containsNumber="1" minValue="22.92" maxValue="5529.25"/>
    </cacheField>
    <cacheField name="Profit" numFmtId="0">
      <sharedItems containsSemiMixedTypes="0" containsString="0" containsNumber="1" minValue="2.15" maxValue="1279.81"/>
    </cacheField>
    <cacheField name="Months" numFmtId="0" databaseField="0">
      <fieldGroup base="1">
        <rangePr groupBy="months" startDate="2025-01-02T00:00:00" endDate="2025-12-31T00:00:00"/>
        <groupItems count="14">
          <s v="&lt;1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0001"/>
    <x v="0"/>
    <x v="0"/>
    <x v="0"/>
    <x v="0"/>
    <n v="1"/>
    <n v="170.04"/>
    <n v="38.65"/>
  </r>
  <r>
    <s v="ORD0002"/>
    <x v="1"/>
    <x v="1"/>
    <x v="0"/>
    <x v="1"/>
    <n v="2"/>
    <n v="135.94999999999999"/>
    <n v="13.42"/>
  </r>
  <r>
    <s v="ORD0003"/>
    <x v="2"/>
    <x v="2"/>
    <x v="1"/>
    <x v="0"/>
    <n v="1"/>
    <n v="41.73"/>
    <n v="9.19"/>
  </r>
  <r>
    <s v="ORD0004"/>
    <x v="3"/>
    <x v="3"/>
    <x v="2"/>
    <x v="2"/>
    <n v="4"/>
    <n v="1274.26"/>
    <n v="103.6"/>
  </r>
  <r>
    <s v="ORD0005"/>
    <x v="4"/>
    <x v="4"/>
    <x v="1"/>
    <x v="2"/>
    <n v="7"/>
    <n v="162.94"/>
    <n v="44.23"/>
  </r>
  <r>
    <s v="ORD0006"/>
    <x v="5"/>
    <x v="5"/>
    <x v="2"/>
    <x v="1"/>
    <n v="2"/>
    <n v="404.51"/>
    <n v="100.92"/>
  </r>
  <r>
    <s v="ORD0007"/>
    <x v="6"/>
    <x v="6"/>
    <x v="1"/>
    <x v="1"/>
    <n v="5"/>
    <n v="151.09"/>
    <n v="41.49"/>
  </r>
  <r>
    <s v="ORD0008"/>
    <x v="7"/>
    <x v="3"/>
    <x v="2"/>
    <x v="2"/>
    <n v="2"/>
    <n v="639.53"/>
    <n v="130.27000000000001"/>
  </r>
  <r>
    <s v="ORD0009"/>
    <x v="8"/>
    <x v="5"/>
    <x v="2"/>
    <x v="3"/>
    <n v="4"/>
    <n v="800.07"/>
    <n v="100.47"/>
  </r>
  <r>
    <s v="ORD0010"/>
    <x v="9"/>
    <x v="7"/>
    <x v="1"/>
    <x v="3"/>
    <n v="2"/>
    <n v="117.12"/>
    <n v="19.989999999999998"/>
  </r>
  <r>
    <s v="ORD0011"/>
    <x v="10"/>
    <x v="5"/>
    <x v="2"/>
    <x v="2"/>
    <n v="3"/>
    <n v="621.65"/>
    <n v="82.93"/>
  </r>
  <r>
    <s v="ORD0012"/>
    <x v="11"/>
    <x v="0"/>
    <x v="0"/>
    <x v="0"/>
    <n v="3"/>
    <n v="503.65"/>
    <n v="78.510000000000005"/>
  </r>
  <r>
    <s v="ORD0013"/>
    <x v="12"/>
    <x v="1"/>
    <x v="0"/>
    <x v="2"/>
    <n v="4"/>
    <n v="320.57"/>
    <n v="75.400000000000006"/>
  </r>
  <r>
    <s v="ORD0014"/>
    <x v="13"/>
    <x v="2"/>
    <x v="1"/>
    <x v="1"/>
    <n v="1"/>
    <n v="38.14"/>
    <n v="4.66"/>
  </r>
  <r>
    <s v="ORD0015"/>
    <x v="14"/>
    <x v="6"/>
    <x v="1"/>
    <x v="1"/>
    <n v="6"/>
    <n v="176.24"/>
    <n v="46.34"/>
  </r>
  <r>
    <s v="ORD0016"/>
    <x v="15"/>
    <x v="8"/>
    <x v="0"/>
    <x v="0"/>
    <n v="3"/>
    <n v="455.68"/>
    <n v="87.62"/>
  </r>
  <r>
    <s v="ORD0017"/>
    <x v="16"/>
    <x v="7"/>
    <x v="1"/>
    <x v="1"/>
    <n v="7"/>
    <n v="408.41"/>
    <n v="114.14"/>
  </r>
  <r>
    <s v="ORD0018"/>
    <x v="17"/>
    <x v="4"/>
    <x v="1"/>
    <x v="3"/>
    <n v="8"/>
    <n v="214.44"/>
    <n v="23.71"/>
  </r>
  <r>
    <s v="ORD0019"/>
    <x v="18"/>
    <x v="4"/>
    <x v="1"/>
    <x v="3"/>
    <n v="7"/>
    <n v="170.97"/>
    <n v="34.049999999999997"/>
  </r>
  <r>
    <s v="ORD0020"/>
    <x v="19"/>
    <x v="8"/>
    <x v="0"/>
    <x v="3"/>
    <n v="5"/>
    <n v="828.85"/>
    <n v="85.3"/>
  </r>
  <r>
    <s v="ORD0021"/>
    <x v="20"/>
    <x v="1"/>
    <x v="0"/>
    <x v="2"/>
    <n v="5"/>
    <n v="345.87"/>
    <n v="57.74"/>
  </r>
  <r>
    <s v="ORD0022"/>
    <x v="21"/>
    <x v="8"/>
    <x v="0"/>
    <x v="0"/>
    <n v="1"/>
    <n v="160.25"/>
    <n v="16.23"/>
  </r>
  <r>
    <s v="ORD0023"/>
    <x v="22"/>
    <x v="7"/>
    <x v="1"/>
    <x v="2"/>
    <n v="4"/>
    <n v="252.6"/>
    <n v="47.46"/>
  </r>
  <r>
    <s v="ORD0024"/>
    <x v="23"/>
    <x v="1"/>
    <x v="0"/>
    <x v="2"/>
    <n v="1"/>
    <n v="74.83"/>
    <n v="7.66"/>
  </r>
  <r>
    <s v="ORD0025"/>
    <x v="24"/>
    <x v="5"/>
    <x v="2"/>
    <x v="3"/>
    <n v="5"/>
    <n v="1042.99"/>
    <n v="201.79"/>
  </r>
  <r>
    <s v="ORD0026"/>
    <x v="25"/>
    <x v="0"/>
    <x v="0"/>
    <x v="3"/>
    <n v="2"/>
    <n v="394.41"/>
    <n v="73.569999999999993"/>
  </r>
  <r>
    <s v="ORD0027"/>
    <x v="26"/>
    <x v="4"/>
    <x v="1"/>
    <x v="1"/>
    <n v="3"/>
    <n v="81.7"/>
    <n v="9.23"/>
  </r>
  <r>
    <s v="ORD0028"/>
    <x v="14"/>
    <x v="1"/>
    <x v="0"/>
    <x v="0"/>
    <n v="7"/>
    <n v="547.36"/>
    <n v="87.47"/>
  </r>
  <r>
    <s v="ORD0029"/>
    <x v="27"/>
    <x v="5"/>
    <x v="2"/>
    <x v="1"/>
    <n v="8"/>
    <n v="1626.59"/>
    <n v="203.23"/>
  </r>
  <r>
    <s v="ORD0030"/>
    <x v="28"/>
    <x v="5"/>
    <x v="2"/>
    <x v="0"/>
    <n v="1"/>
    <n v="223.89"/>
    <n v="18.23"/>
  </r>
  <r>
    <s v="ORD0031"/>
    <x v="29"/>
    <x v="9"/>
    <x v="0"/>
    <x v="3"/>
    <n v="4"/>
    <n v="2787.01"/>
    <n v="262.45999999999998"/>
  </r>
  <r>
    <s v="ORD0032"/>
    <x v="30"/>
    <x v="2"/>
    <x v="1"/>
    <x v="1"/>
    <n v="5"/>
    <n v="188.57"/>
    <n v="20.079999999999998"/>
  </r>
  <r>
    <s v="ORD0033"/>
    <x v="31"/>
    <x v="6"/>
    <x v="1"/>
    <x v="1"/>
    <n v="8"/>
    <n v="254.76"/>
    <n v="30.08"/>
  </r>
  <r>
    <s v="ORD0034"/>
    <x v="32"/>
    <x v="0"/>
    <x v="0"/>
    <x v="1"/>
    <n v="7"/>
    <n v="1237.5999999999999"/>
    <n v="312.82"/>
  </r>
  <r>
    <s v="ORD0035"/>
    <x v="33"/>
    <x v="9"/>
    <x v="0"/>
    <x v="1"/>
    <n v="2"/>
    <n v="1359.34"/>
    <n v="326.39999999999998"/>
  </r>
  <r>
    <s v="ORD0036"/>
    <x v="34"/>
    <x v="0"/>
    <x v="0"/>
    <x v="0"/>
    <n v="4"/>
    <n v="725.23"/>
    <n v="78.349999999999994"/>
  </r>
  <r>
    <s v="ORD0037"/>
    <x v="35"/>
    <x v="4"/>
    <x v="1"/>
    <x v="0"/>
    <n v="5"/>
    <n v="134.36000000000001"/>
    <n v="12.77"/>
  </r>
  <r>
    <s v="ORD0038"/>
    <x v="36"/>
    <x v="1"/>
    <x v="0"/>
    <x v="3"/>
    <n v="2"/>
    <n v="164.07"/>
    <n v="43.52"/>
  </r>
  <r>
    <s v="ORD0039"/>
    <x v="37"/>
    <x v="2"/>
    <x v="1"/>
    <x v="1"/>
    <n v="3"/>
    <n v="119.55"/>
    <n v="30.24"/>
  </r>
  <r>
    <s v="ORD0040"/>
    <x v="38"/>
    <x v="9"/>
    <x v="0"/>
    <x v="3"/>
    <n v="3"/>
    <n v="2139.27"/>
    <n v="284.61"/>
  </r>
  <r>
    <s v="ORD0041"/>
    <x v="39"/>
    <x v="8"/>
    <x v="0"/>
    <x v="1"/>
    <n v="5"/>
    <n v="744.77"/>
    <n v="103.78"/>
  </r>
  <r>
    <s v="ORD0042"/>
    <x v="40"/>
    <x v="9"/>
    <x v="0"/>
    <x v="3"/>
    <n v="1"/>
    <n v="591.52"/>
    <n v="103.73"/>
  </r>
  <r>
    <s v="ORD0043"/>
    <x v="41"/>
    <x v="1"/>
    <x v="0"/>
    <x v="3"/>
    <n v="3"/>
    <n v="240.81"/>
    <n v="22.56"/>
  </r>
  <r>
    <s v="ORD0044"/>
    <x v="42"/>
    <x v="0"/>
    <x v="0"/>
    <x v="3"/>
    <n v="4"/>
    <n v="783.59"/>
    <n v="151.97"/>
  </r>
  <r>
    <s v="ORD0045"/>
    <x v="43"/>
    <x v="6"/>
    <x v="1"/>
    <x v="3"/>
    <n v="1"/>
    <n v="29.52"/>
    <n v="5.81"/>
  </r>
  <r>
    <s v="ORD0046"/>
    <x v="44"/>
    <x v="1"/>
    <x v="0"/>
    <x v="0"/>
    <n v="6"/>
    <n v="465.28"/>
    <n v="66.459999999999994"/>
  </r>
  <r>
    <s v="ORD0047"/>
    <x v="45"/>
    <x v="7"/>
    <x v="1"/>
    <x v="2"/>
    <n v="7"/>
    <n v="416.41"/>
    <n v="110.68"/>
  </r>
  <r>
    <s v="ORD0048"/>
    <x v="46"/>
    <x v="0"/>
    <x v="0"/>
    <x v="3"/>
    <n v="1"/>
    <n v="164.64"/>
    <n v="20.190000000000001"/>
  </r>
  <r>
    <s v="ORD0049"/>
    <x v="47"/>
    <x v="7"/>
    <x v="1"/>
    <x v="3"/>
    <n v="3"/>
    <n v="193.65"/>
    <n v="29.8"/>
  </r>
  <r>
    <s v="ORD0050"/>
    <x v="48"/>
    <x v="4"/>
    <x v="1"/>
    <x v="2"/>
    <n v="8"/>
    <n v="204.47"/>
    <n v="56.73"/>
  </r>
  <r>
    <s v="ORD0051"/>
    <x v="49"/>
    <x v="1"/>
    <x v="0"/>
    <x v="2"/>
    <n v="1"/>
    <n v="81.48"/>
    <n v="8.2100000000000009"/>
  </r>
  <r>
    <s v="ORD0052"/>
    <x v="50"/>
    <x v="4"/>
    <x v="1"/>
    <x v="3"/>
    <n v="5"/>
    <n v="131.06"/>
    <n v="14.56"/>
  </r>
  <r>
    <s v="ORD0053"/>
    <x v="51"/>
    <x v="7"/>
    <x v="1"/>
    <x v="0"/>
    <n v="4"/>
    <n v="249"/>
    <n v="62.4"/>
  </r>
  <r>
    <s v="ORD0054"/>
    <x v="52"/>
    <x v="1"/>
    <x v="0"/>
    <x v="3"/>
    <n v="8"/>
    <n v="551.08000000000004"/>
    <n v="90.77"/>
  </r>
  <r>
    <s v="ORD0055"/>
    <x v="53"/>
    <x v="7"/>
    <x v="1"/>
    <x v="2"/>
    <n v="1"/>
    <n v="63.25"/>
    <n v="13.12"/>
  </r>
  <r>
    <s v="ORD0056"/>
    <x v="54"/>
    <x v="7"/>
    <x v="1"/>
    <x v="1"/>
    <n v="3"/>
    <n v="182.19"/>
    <n v="18.649999999999999"/>
  </r>
  <r>
    <s v="ORD0057"/>
    <x v="10"/>
    <x v="4"/>
    <x v="1"/>
    <x v="0"/>
    <n v="1"/>
    <n v="24.65"/>
    <n v="2.1800000000000002"/>
  </r>
  <r>
    <s v="ORD0058"/>
    <x v="55"/>
    <x v="5"/>
    <x v="2"/>
    <x v="0"/>
    <n v="1"/>
    <n v="228.01"/>
    <n v="48.65"/>
  </r>
  <r>
    <s v="ORD0059"/>
    <x v="43"/>
    <x v="5"/>
    <x v="2"/>
    <x v="0"/>
    <n v="7"/>
    <n v="1671.14"/>
    <n v="212.82"/>
  </r>
  <r>
    <s v="ORD0060"/>
    <x v="56"/>
    <x v="4"/>
    <x v="1"/>
    <x v="3"/>
    <n v="3"/>
    <n v="70.19"/>
    <n v="18.59"/>
  </r>
  <r>
    <s v="ORD0061"/>
    <x v="57"/>
    <x v="3"/>
    <x v="2"/>
    <x v="0"/>
    <n v="4"/>
    <n v="1268.97"/>
    <n v="128.94999999999999"/>
  </r>
  <r>
    <s v="ORD0062"/>
    <x v="58"/>
    <x v="9"/>
    <x v="0"/>
    <x v="0"/>
    <n v="8"/>
    <n v="5529.25"/>
    <n v="951.37"/>
  </r>
  <r>
    <s v="ORD0063"/>
    <x v="59"/>
    <x v="7"/>
    <x v="1"/>
    <x v="3"/>
    <n v="4"/>
    <n v="247.68"/>
    <n v="39.549999999999997"/>
  </r>
  <r>
    <s v="ORD0064"/>
    <x v="60"/>
    <x v="7"/>
    <x v="1"/>
    <x v="2"/>
    <n v="2"/>
    <n v="123.4"/>
    <n v="19.739999999999998"/>
  </r>
  <r>
    <s v="ORD0065"/>
    <x v="61"/>
    <x v="1"/>
    <x v="0"/>
    <x v="3"/>
    <n v="6"/>
    <n v="483.93"/>
    <n v="64"/>
  </r>
  <r>
    <s v="ORD0066"/>
    <x v="62"/>
    <x v="6"/>
    <x v="1"/>
    <x v="3"/>
    <n v="5"/>
    <n v="152.9"/>
    <n v="22.8"/>
  </r>
  <r>
    <s v="ORD0067"/>
    <x v="63"/>
    <x v="5"/>
    <x v="2"/>
    <x v="3"/>
    <n v="7"/>
    <n v="1504.64"/>
    <n v="293.88"/>
  </r>
  <r>
    <s v="ORD0068"/>
    <x v="64"/>
    <x v="7"/>
    <x v="1"/>
    <x v="1"/>
    <n v="1"/>
    <n v="54.02"/>
    <n v="14.32"/>
  </r>
  <r>
    <s v="ORD0069"/>
    <x v="65"/>
    <x v="1"/>
    <x v="0"/>
    <x v="1"/>
    <n v="4"/>
    <n v="274.2"/>
    <n v="58.36"/>
  </r>
  <r>
    <s v="ORD0070"/>
    <x v="66"/>
    <x v="5"/>
    <x v="2"/>
    <x v="3"/>
    <n v="6"/>
    <n v="1378.02"/>
    <n v="193.01"/>
  </r>
  <r>
    <s v="ORD0071"/>
    <x v="67"/>
    <x v="7"/>
    <x v="1"/>
    <x v="1"/>
    <n v="7"/>
    <n v="436.57"/>
    <n v="83.33"/>
  </r>
  <r>
    <s v="ORD0072"/>
    <x v="68"/>
    <x v="2"/>
    <x v="1"/>
    <x v="1"/>
    <n v="7"/>
    <n v="289.93"/>
    <n v="75.540000000000006"/>
  </r>
  <r>
    <s v="ORD0073"/>
    <x v="69"/>
    <x v="6"/>
    <x v="1"/>
    <x v="3"/>
    <n v="5"/>
    <n v="144.12"/>
    <n v="17.59"/>
  </r>
  <r>
    <s v="ORD0074"/>
    <x v="70"/>
    <x v="6"/>
    <x v="1"/>
    <x v="1"/>
    <n v="6"/>
    <n v="177.92"/>
    <n v="21.84"/>
  </r>
  <r>
    <s v="ORD0075"/>
    <x v="26"/>
    <x v="8"/>
    <x v="0"/>
    <x v="3"/>
    <n v="3"/>
    <n v="459.24"/>
    <n v="97.71"/>
  </r>
  <r>
    <s v="ORD0076"/>
    <x v="5"/>
    <x v="6"/>
    <x v="1"/>
    <x v="0"/>
    <n v="6"/>
    <n v="186.22"/>
    <n v="23.26"/>
  </r>
  <r>
    <s v="ORD0077"/>
    <x v="71"/>
    <x v="2"/>
    <x v="1"/>
    <x v="3"/>
    <n v="3"/>
    <n v="113.88"/>
    <n v="19.93"/>
  </r>
  <r>
    <s v="ORD0078"/>
    <x v="72"/>
    <x v="0"/>
    <x v="0"/>
    <x v="0"/>
    <n v="8"/>
    <n v="1502.88"/>
    <n v="235.65"/>
  </r>
  <r>
    <s v="ORD0079"/>
    <x v="73"/>
    <x v="3"/>
    <x v="2"/>
    <x v="3"/>
    <n v="4"/>
    <n v="1294.24"/>
    <n v="326.26"/>
  </r>
  <r>
    <s v="ORD0080"/>
    <x v="74"/>
    <x v="0"/>
    <x v="0"/>
    <x v="0"/>
    <n v="7"/>
    <n v="1336.64"/>
    <n v="292.97000000000003"/>
  </r>
  <r>
    <s v="ORD0081"/>
    <x v="75"/>
    <x v="8"/>
    <x v="0"/>
    <x v="0"/>
    <n v="1"/>
    <n v="173.36"/>
    <n v="18.079999999999998"/>
  </r>
  <r>
    <s v="ORD0082"/>
    <x v="49"/>
    <x v="4"/>
    <x v="1"/>
    <x v="2"/>
    <n v="8"/>
    <n v="218"/>
    <n v="56.31"/>
  </r>
  <r>
    <s v="ORD0083"/>
    <x v="76"/>
    <x v="6"/>
    <x v="1"/>
    <x v="1"/>
    <n v="7"/>
    <n v="226.68"/>
    <n v="51.85"/>
  </r>
  <r>
    <s v="ORD0084"/>
    <x v="77"/>
    <x v="8"/>
    <x v="0"/>
    <x v="0"/>
    <n v="8"/>
    <n v="1367"/>
    <n v="185.18"/>
  </r>
  <r>
    <s v="ORD0085"/>
    <x v="78"/>
    <x v="1"/>
    <x v="0"/>
    <x v="0"/>
    <n v="8"/>
    <n v="572.95000000000005"/>
    <n v="54.71"/>
  </r>
  <r>
    <s v="ORD0086"/>
    <x v="79"/>
    <x v="7"/>
    <x v="1"/>
    <x v="2"/>
    <n v="4"/>
    <n v="231.35"/>
    <n v="43.5"/>
  </r>
  <r>
    <s v="ORD0087"/>
    <x v="80"/>
    <x v="4"/>
    <x v="1"/>
    <x v="1"/>
    <n v="3"/>
    <n v="77.91"/>
    <n v="17.239999999999998"/>
  </r>
  <r>
    <s v="ORD0088"/>
    <x v="37"/>
    <x v="0"/>
    <x v="0"/>
    <x v="2"/>
    <n v="7"/>
    <n v="1270.74"/>
    <n v="207.33"/>
  </r>
  <r>
    <s v="ORD0089"/>
    <x v="81"/>
    <x v="2"/>
    <x v="1"/>
    <x v="3"/>
    <n v="7"/>
    <n v="299.98"/>
    <n v="69.930000000000007"/>
  </r>
  <r>
    <s v="ORD0090"/>
    <x v="82"/>
    <x v="3"/>
    <x v="2"/>
    <x v="2"/>
    <n v="8"/>
    <n v="2303.33"/>
    <n v="363.92"/>
  </r>
  <r>
    <s v="ORD0091"/>
    <x v="83"/>
    <x v="3"/>
    <x v="2"/>
    <x v="0"/>
    <n v="4"/>
    <n v="1145.5"/>
    <n v="202.9"/>
  </r>
  <r>
    <s v="ORD0092"/>
    <x v="30"/>
    <x v="3"/>
    <x v="2"/>
    <x v="1"/>
    <n v="6"/>
    <n v="1880.71"/>
    <n v="466.61"/>
  </r>
  <r>
    <s v="ORD0093"/>
    <x v="84"/>
    <x v="4"/>
    <x v="1"/>
    <x v="3"/>
    <n v="1"/>
    <n v="22.92"/>
    <n v="3.8"/>
  </r>
  <r>
    <s v="ORD0094"/>
    <x v="36"/>
    <x v="8"/>
    <x v="0"/>
    <x v="2"/>
    <n v="3"/>
    <n v="468.39"/>
    <n v="57.3"/>
  </r>
  <r>
    <s v="ORD0095"/>
    <x v="38"/>
    <x v="5"/>
    <x v="2"/>
    <x v="2"/>
    <n v="6"/>
    <n v="1386.53"/>
    <n v="341.62"/>
  </r>
  <r>
    <s v="ORD0096"/>
    <x v="85"/>
    <x v="7"/>
    <x v="1"/>
    <x v="3"/>
    <n v="2"/>
    <n v="125.98"/>
    <n v="11.39"/>
  </r>
  <r>
    <s v="ORD0097"/>
    <x v="86"/>
    <x v="5"/>
    <x v="2"/>
    <x v="3"/>
    <n v="4"/>
    <n v="929.5"/>
    <n v="195.52"/>
  </r>
  <r>
    <s v="ORD0098"/>
    <x v="87"/>
    <x v="9"/>
    <x v="0"/>
    <x v="3"/>
    <n v="4"/>
    <n v="2663.09"/>
    <n v="340.1"/>
  </r>
  <r>
    <s v="ORD0099"/>
    <x v="88"/>
    <x v="8"/>
    <x v="0"/>
    <x v="0"/>
    <n v="2"/>
    <n v="317.76"/>
    <n v="41.71"/>
  </r>
  <r>
    <s v="ORD0100"/>
    <x v="63"/>
    <x v="5"/>
    <x v="2"/>
    <x v="3"/>
    <n v="3"/>
    <n v="696.67"/>
    <n v="78.55"/>
  </r>
  <r>
    <s v="ORD0101"/>
    <x v="89"/>
    <x v="7"/>
    <x v="1"/>
    <x v="3"/>
    <n v="2"/>
    <n v="130.29"/>
    <n v="25.43"/>
  </r>
  <r>
    <s v="ORD0102"/>
    <x v="90"/>
    <x v="3"/>
    <x v="2"/>
    <x v="3"/>
    <n v="7"/>
    <n v="2138.6799999999998"/>
    <n v="526.36"/>
  </r>
  <r>
    <s v="ORD0103"/>
    <x v="91"/>
    <x v="2"/>
    <x v="1"/>
    <x v="2"/>
    <n v="2"/>
    <n v="85.6"/>
    <n v="17.13"/>
  </r>
  <r>
    <s v="ORD0104"/>
    <x v="92"/>
    <x v="0"/>
    <x v="0"/>
    <x v="1"/>
    <n v="1"/>
    <n v="185.81"/>
    <n v="17.43"/>
  </r>
  <r>
    <s v="ORD0105"/>
    <x v="93"/>
    <x v="5"/>
    <x v="2"/>
    <x v="1"/>
    <n v="1"/>
    <n v="202.64"/>
    <n v="55.15"/>
  </r>
  <r>
    <s v="ORD0106"/>
    <x v="94"/>
    <x v="8"/>
    <x v="0"/>
    <x v="0"/>
    <n v="3"/>
    <n v="502.44"/>
    <n v="137.21"/>
  </r>
  <r>
    <s v="ORD0107"/>
    <x v="70"/>
    <x v="7"/>
    <x v="1"/>
    <x v="1"/>
    <n v="8"/>
    <n v="511.27"/>
    <n v="101.48"/>
  </r>
  <r>
    <s v="ORD0108"/>
    <x v="95"/>
    <x v="5"/>
    <x v="2"/>
    <x v="2"/>
    <n v="4"/>
    <n v="947.17"/>
    <n v="121.97"/>
  </r>
  <r>
    <s v="ORD0109"/>
    <x v="96"/>
    <x v="8"/>
    <x v="0"/>
    <x v="3"/>
    <n v="7"/>
    <n v="1118.72"/>
    <n v="162.22"/>
  </r>
  <r>
    <s v="ORD0110"/>
    <x v="32"/>
    <x v="8"/>
    <x v="0"/>
    <x v="2"/>
    <n v="4"/>
    <n v="619.55999999999995"/>
    <n v="158.65"/>
  </r>
  <r>
    <s v="ORD0111"/>
    <x v="27"/>
    <x v="7"/>
    <x v="1"/>
    <x v="0"/>
    <n v="1"/>
    <n v="55.03"/>
    <n v="12.33"/>
  </r>
  <r>
    <s v="ORD0112"/>
    <x v="97"/>
    <x v="8"/>
    <x v="0"/>
    <x v="1"/>
    <n v="4"/>
    <n v="658.68"/>
    <n v="117.35"/>
  </r>
  <r>
    <s v="ORD0113"/>
    <x v="98"/>
    <x v="9"/>
    <x v="0"/>
    <x v="0"/>
    <n v="2"/>
    <n v="1275.1400000000001"/>
    <n v="164.06"/>
  </r>
  <r>
    <s v="ORD0114"/>
    <x v="99"/>
    <x v="6"/>
    <x v="1"/>
    <x v="2"/>
    <n v="6"/>
    <n v="177.32"/>
    <n v="40.64"/>
  </r>
  <r>
    <s v="ORD0115"/>
    <x v="100"/>
    <x v="5"/>
    <x v="2"/>
    <x v="1"/>
    <n v="6"/>
    <n v="1259.52"/>
    <n v="164.09"/>
  </r>
  <r>
    <s v="ORD0116"/>
    <x v="13"/>
    <x v="0"/>
    <x v="0"/>
    <x v="3"/>
    <n v="4"/>
    <n v="754.97"/>
    <n v="203.97"/>
  </r>
  <r>
    <s v="ORD0117"/>
    <x v="101"/>
    <x v="4"/>
    <x v="1"/>
    <x v="1"/>
    <n v="4"/>
    <n v="95.53"/>
    <n v="18.91"/>
  </r>
  <r>
    <s v="ORD0118"/>
    <x v="102"/>
    <x v="1"/>
    <x v="0"/>
    <x v="0"/>
    <n v="5"/>
    <n v="359.72"/>
    <n v="54.74"/>
  </r>
  <r>
    <s v="ORD0119"/>
    <x v="64"/>
    <x v="7"/>
    <x v="1"/>
    <x v="0"/>
    <n v="1"/>
    <n v="57.29"/>
    <n v="15.75"/>
  </r>
  <r>
    <s v="ORD0120"/>
    <x v="103"/>
    <x v="1"/>
    <x v="0"/>
    <x v="0"/>
    <n v="5"/>
    <n v="385.34"/>
    <n v="88.84"/>
  </r>
  <r>
    <s v="ORD0121"/>
    <x v="104"/>
    <x v="0"/>
    <x v="0"/>
    <x v="2"/>
    <n v="1"/>
    <n v="178.9"/>
    <n v="30.07"/>
  </r>
  <r>
    <s v="ORD0122"/>
    <x v="105"/>
    <x v="4"/>
    <x v="1"/>
    <x v="1"/>
    <n v="1"/>
    <n v="23.07"/>
    <n v="2.15"/>
  </r>
  <r>
    <s v="ORD0123"/>
    <x v="106"/>
    <x v="8"/>
    <x v="0"/>
    <x v="3"/>
    <n v="2"/>
    <n v="297.70999999999998"/>
    <n v="72.11"/>
  </r>
  <r>
    <s v="ORD0124"/>
    <x v="107"/>
    <x v="7"/>
    <x v="1"/>
    <x v="3"/>
    <n v="2"/>
    <n v="121.39"/>
    <n v="19.82"/>
  </r>
  <r>
    <s v="ORD0125"/>
    <x v="108"/>
    <x v="6"/>
    <x v="1"/>
    <x v="1"/>
    <n v="4"/>
    <n v="118.81"/>
    <n v="20.02"/>
  </r>
  <r>
    <s v="ORD0126"/>
    <x v="109"/>
    <x v="6"/>
    <x v="1"/>
    <x v="3"/>
    <n v="7"/>
    <n v="214.6"/>
    <n v="48.93"/>
  </r>
  <r>
    <s v="ORD0127"/>
    <x v="15"/>
    <x v="2"/>
    <x v="1"/>
    <x v="3"/>
    <n v="4"/>
    <n v="149.03"/>
    <n v="17.100000000000001"/>
  </r>
  <r>
    <s v="ORD0128"/>
    <x v="53"/>
    <x v="0"/>
    <x v="0"/>
    <x v="1"/>
    <n v="3"/>
    <n v="534.65"/>
    <n v="106.27"/>
  </r>
  <r>
    <s v="ORD0129"/>
    <x v="80"/>
    <x v="7"/>
    <x v="1"/>
    <x v="2"/>
    <n v="1"/>
    <n v="62.48"/>
    <n v="13.78"/>
  </r>
  <r>
    <s v="ORD0130"/>
    <x v="110"/>
    <x v="8"/>
    <x v="0"/>
    <x v="0"/>
    <n v="2"/>
    <n v="347.13"/>
    <n v="82.47"/>
  </r>
  <r>
    <s v="ORD0131"/>
    <x v="111"/>
    <x v="6"/>
    <x v="1"/>
    <x v="3"/>
    <n v="4"/>
    <n v="121.07"/>
    <n v="25.37"/>
  </r>
  <r>
    <s v="ORD0132"/>
    <x v="112"/>
    <x v="7"/>
    <x v="1"/>
    <x v="3"/>
    <n v="3"/>
    <n v="167.97"/>
    <n v="23.77"/>
  </r>
  <r>
    <s v="ORD0133"/>
    <x v="113"/>
    <x v="6"/>
    <x v="1"/>
    <x v="3"/>
    <n v="5"/>
    <n v="149.06"/>
    <n v="20.99"/>
  </r>
  <r>
    <s v="ORD0134"/>
    <x v="114"/>
    <x v="3"/>
    <x v="2"/>
    <x v="1"/>
    <n v="5"/>
    <n v="1481.33"/>
    <n v="295.68"/>
  </r>
  <r>
    <s v="ORD0135"/>
    <x v="115"/>
    <x v="3"/>
    <x v="2"/>
    <x v="2"/>
    <n v="6"/>
    <n v="1629.31"/>
    <n v="204.94"/>
  </r>
  <r>
    <s v="ORD0136"/>
    <x v="116"/>
    <x v="6"/>
    <x v="1"/>
    <x v="2"/>
    <n v="1"/>
    <n v="30.46"/>
    <n v="7.09"/>
  </r>
  <r>
    <s v="ORD0137"/>
    <x v="117"/>
    <x v="4"/>
    <x v="1"/>
    <x v="1"/>
    <n v="8"/>
    <n v="216.64"/>
    <n v="25.19"/>
  </r>
  <r>
    <s v="ORD0138"/>
    <x v="118"/>
    <x v="6"/>
    <x v="1"/>
    <x v="1"/>
    <n v="7"/>
    <n v="229.7"/>
    <n v="39.97"/>
  </r>
  <r>
    <s v="ORD0139"/>
    <x v="119"/>
    <x v="3"/>
    <x v="2"/>
    <x v="3"/>
    <n v="6"/>
    <n v="1928.78"/>
    <n v="281.52999999999997"/>
  </r>
  <r>
    <s v="ORD0140"/>
    <x v="66"/>
    <x v="8"/>
    <x v="0"/>
    <x v="1"/>
    <n v="5"/>
    <n v="850.17"/>
    <n v="161.55000000000001"/>
  </r>
  <r>
    <s v="ORD0141"/>
    <x v="13"/>
    <x v="8"/>
    <x v="0"/>
    <x v="2"/>
    <n v="2"/>
    <n v="308.69"/>
    <n v="84.59"/>
  </r>
  <r>
    <s v="ORD0142"/>
    <x v="120"/>
    <x v="3"/>
    <x v="2"/>
    <x v="1"/>
    <n v="1"/>
    <n v="294.79000000000002"/>
    <n v="34.64"/>
  </r>
  <r>
    <s v="ORD0143"/>
    <x v="78"/>
    <x v="5"/>
    <x v="2"/>
    <x v="1"/>
    <n v="8"/>
    <n v="1851.52"/>
    <n v="223.5"/>
  </r>
  <r>
    <s v="ORD0144"/>
    <x v="121"/>
    <x v="1"/>
    <x v="0"/>
    <x v="1"/>
    <n v="3"/>
    <n v="242.14"/>
    <n v="42.84"/>
  </r>
  <r>
    <s v="ORD0145"/>
    <x v="122"/>
    <x v="9"/>
    <x v="0"/>
    <x v="0"/>
    <n v="4"/>
    <n v="2501.59"/>
    <n v="206.97"/>
  </r>
  <r>
    <s v="ORD0146"/>
    <x v="123"/>
    <x v="3"/>
    <x v="2"/>
    <x v="3"/>
    <n v="2"/>
    <n v="595.37"/>
    <n v="61.62"/>
  </r>
  <r>
    <s v="ORD0147"/>
    <x v="124"/>
    <x v="4"/>
    <x v="1"/>
    <x v="2"/>
    <n v="8"/>
    <n v="196.62"/>
    <n v="34.700000000000003"/>
  </r>
  <r>
    <s v="ORD0148"/>
    <x v="125"/>
    <x v="8"/>
    <x v="0"/>
    <x v="0"/>
    <n v="4"/>
    <n v="625.1"/>
    <n v="165.26"/>
  </r>
  <r>
    <s v="ORD0149"/>
    <x v="126"/>
    <x v="1"/>
    <x v="0"/>
    <x v="2"/>
    <n v="3"/>
    <n v="237.27"/>
    <n v="59.53"/>
  </r>
  <r>
    <s v="ORD0150"/>
    <x v="53"/>
    <x v="5"/>
    <x v="2"/>
    <x v="2"/>
    <n v="5"/>
    <n v="1149.73"/>
    <n v="284.55"/>
  </r>
  <r>
    <s v="ORD0151"/>
    <x v="127"/>
    <x v="6"/>
    <x v="1"/>
    <x v="1"/>
    <n v="8"/>
    <n v="241.85"/>
    <n v="36.04"/>
  </r>
  <r>
    <s v="ORD0152"/>
    <x v="125"/>
    <x v="1"/>
    <x v="0"/>
    <x v="2"/>
    <n v="7"/>
    <n v="563.80999999999995"/>
    <n v="155.69999999999999"/>
  </r>
  <r>
    <s v="ORD0153"/>
    <x v="9"/>
    <x v="2"/>
    <x v="1"/>
    <x v="1"/>
    <n v="7"/>
    <n v="254.44"/>
    <n v="58.25"/>
  </r>
  <r>
    <s v="ORD0154"/>
    <x v="66"/>
    <x v="3"/>
    <x v="2"/>
    <x v="0"/>
    <n v="7"/>
    <n v="2098.04"/>
    <n v="183.38"/>
  </r>
  <r>
    <s v="ORD0155"/>
    <x v="102"/>
    <x v="1"/>
    <x v="0"/>
    <x v="1"/>
    <n v="6"/>
    <n v="413.97"/>
    <n v="108.5"/>
  </r>
  <r>
    <s v="ORD0156"/>
    <x v="128"/>
    <x v="9"/>
    <x v="0"/>
    <x v="0"/>
    <n v="3"/>
    <n v="1784.18"/>
    <n v="421.61"/>
  </r>
  <r>
    <s v="ORD0157"/>
    <x v="129"/>
    <x v="7"/>
    <x v="1"/>
    <x v="1"/>
    <n v="6"/>
    <n v="370.79"/>
    <n v="92.83"/>
  </r>
  <r>
    <s v="ORD0158"/>
    <x v="130"/>
    <x v="1"/>
    <x v="0"/>
    <x v="1"/>
    <n v="7"/>
    <n v="564.1"/>
    <n v="49.18"/>
  </r>
  <r>
    <s v="ORD0159"/>
    <x v="131"/>
    <x v="0"/>
    <x v="0"/>
    <x v="2"/>
    <n v="4"/>
    <n v="791.63"/>
    <n v="181.56"/>
  </r>
  <r>
    <s v="ORD0160"/>
    <x v="132"/>
    <x v="3"/>
    <x v="2"/>
    <x v="3"/>
    <n v="2"/>
    <n v="593.24"/>
    <n v="129.80000000000001"/>
  </r>
  <r>
    <s v="ORD0161"/>
    <x v="133"/>
    <x v="9"/>
    <x v="0"/>
    <x v="3"/>
    <n v="1"/>
    <n v="623.14"/>
    <n v="96.57"/>
  </r>
  <r>
    <s v="ORD0162"/>
    <x v="134"/>
    <x v="4"/>
    <x v="1"/>
    <x v="1"/>
    <n v="4"/>
    <n v="101.32"/>
    <n v="24.17"/>
  </r>
  <r>
    <s v="ORD0163"/>
    <x v="135"/>
    <x v="4"/>
    <x v="1"/>
    <x v="1"/>
    <n v="3"/>
    <n v="76.8"/>
    <n v="9.84"/>
  </r>
  <r>
    <s v="ORD0164"/>
    <x v="80"/>
    <x v="6"/>
    <x v="1"/>
    <x v="1"/>
    <n v="3"/>
    <n v="92.48"/>
    <n v="15.9"/>
  </r>
  <r>
    <s v="ORD0165"/>
    <x v="121"/>
    <x v="9"/>
    <x v="0"/>
    <x v="0"/>
    <n v="8"/>
    <n v="4756.82"/>
    <n v="1279.81"/>
  </r>
  <r>
    <s v="ORD0166"/>
    <x v="136"/>
    <x v="6"/>
    <x v="1"/>
    <x v="1"/>
    <n v="5"/>
    <n v="155.71"/>
    <n v="26.68"/>
  </r>
  <r>
    <s v="ORD0167"/>
    <x v="137"/>
    <x v="7"/>
    <x v="1"/>
    <x v="1"/>
    <n v="4"/>
    <n v="221.12"/>
    <n v="34.56"/>
  </r>
  <r>
    <s v="ORD0168"/>
    <x v="138"/>
    <x v="5"/>
    <x v="2"/>
    <x v="2"/>
    <n v="5"/>
    <n v="994.83"/>
    <n v="244.74"/>
  </r>
  <r>
    <s v="ORD0169"/>
    <x v="139"/>
    <x v="3"/>
    <x v="2"/>
    <x v="3"/>
    <n v="5"/>
    <n v="1623.19"/>
    <n v="371.77"/>
  </r>
  <r>
    <s v="ORD0170"/>
    <x v="63"/>
    <x v="7"/>
    <x v="1"/>
    <x v="2"/>
    <n v="4"/>
    <n v="226.51"/>
    <n v="26.73"/>
  </r>
  <r>
    <s v="ORD0171"/>
    <x v="140"/>
    <x v="7"/>
    <x v="1"/>
    <x v="3"/>
    <n v="3"/>
    <n v="194.52"/>
    <n v="40.71"/>
  </r>
  <r>
    <s v="ORD0172"/>
    <x v="141"/>
    <x v="7"/>
    <x v="1"/>
    <x v="2"/>
    <n v="8"/>
    <n v="502.31"/>
    <n v="49.24"/>
  </r>
  <r>
    <s v="ORD0173"/>
    <x v="72"/>
    <x v="7"/>
    <x v="1"/>
    <x v="0"/>
    <n v="6"/>
    <n v="338.46"/>
    <n v="80.319999999999993"/>
  </r>
  <r>
    <s v="ORD0174"/>
    <x v="142"/>
    <x v="5"/>
    <x v="2"/>
    <x v="2"/>
    <n v="5"/>
    <n v="1191.0899999999999"/>
    <n v="320.20999999999998"/>
  </r>
  <r>
    <s v="ORD0175"/>
    <x v="143"/>
    <x v="7"/>
    <x v="1"/>
    <x v="1"/>
    <n v="6"/>
    <n v="393.33"/>
    <n v="42.54"/>
  </r>
  <r>
    <s v="ORD0176"/>
    <x v="75"/>
    <x v="2"/>
    <x v="1"/>
    <x v="2"/>
    <n v="7"/>
    <n v="257.06"/>
    <n v="40.85"/>
  </r>
  <r>
    <s v="ORD0177"/>
    <x v="144"/>
    <x v="7"/>
    <x v="1"/>
    <x v="2"/>
    <n v="2"/>
    <n v="124.15"/>
    <n v="26.63"/>
  </r>
  <r>
    <s v="ORD0178"/>
    <x v="145"/>
    <x v="6"/>
    <x v="1"/>
    <x v="2"/>
    <n v="7"/>
    <n v="193.55"/>
    <n v="24.54"/>
  </r>
  <r>
    <s v="ORD0179"/>
    <x v="146"/>
    <x v="9"/>
    <x v="0"/>
    <x v="0"/>
    <n v="6"/>
    <n v="4015.17"/>
    <n v="831.46"/>
  </r>
  <r>
    <s v="ORD0180"/>
    <x v="86"/>
    <x v="8"/>
    <x v="0"/>
    <x v="1"/>
    <n v="5"/>
    <n v="738.67"/>
    <n v="65.790000000000006"/>
  </r>
  <r>
    <s v="ORD0181"/>
    <x v="147"/>
    <x v="9"/>
    <x v="0"/>
    <x v="3"/>
    <n v="5"/>
    <n v="2988.17"/>
    <n v="769.31"/>
  </r>
  <r>
    <s v="ORD0182"/>
    <x v="144"/>
    <x v="4"/>
    <x v="1"/>
    <x v="2"/>
    <n v="7"/>
    <n v="180.97"/>
    <n v="41.37"/>
  </r>
  <r>
    <s v="ORD0183"/>
    <x v="148"/>
    <x v="1"/>
    <x v="0"/>
    <x v="0"/>
    <n v="7"/>
    <n v="565.47"/>
    <n v="119.31"/>
  </r>
  <r>
    <s v="ORD0184"/>
    <x v="149"/>
    <x v="8"/>
    <x v="0"/>
    <x v="3"/>
    <n v="7"/>
    <n v="1162.6199999999999"/>
    <n v="143.53"/>
  </r>
  <r>
    <s v="ORD0185"/>
    <x v="150"/>
    <x v="8"/>
    <x v="0"/>
    <x v="3"/>
    <n v="4"/>
    <n v="701.56"/>
    <n v="107.67"/>
  </r>
  <r>
    <s v="ORD0186"/>
    <x v="151"/>
    <x v="5"/>
    <x v="2"/>
    <x v="2"/>
    <n v="1"/>
    <n v="206.35"/>
    <n v="21.55"/>
  </r>
  <r>
    <s v="ORD0187"/>
    <x v="66"/>
    <x v="8"/>
    <x v="0"/>
    <x v="0"/>
    <n v="2"/>
    <n v="329.07"/>
    <n v="65.63"/>
  </r>
  <r>
    <s v="ORD0188"/>
    <x v="152"/>
    <x v="9"/>
    <x v="0"/>
    <x v="0"/>
    <n v="1"/>
    <n v="713.55"/>
    <n v="169.39"/>
  </r>
  <r>
    <s v="ORD0189"/>
    <x v="19"/>
    <x v="2"/>
    <x v="1"/>
    <x v="0"/>
    <n v="2"/>
    <n v="81.38"/>
    <n v="19.739999999999998"/>
  </r>
  <r>
    <s v="ORD0190"/>
    <x v="73"/>
    <x v="2"/>
    <x v="1"/>
    <x v="3"/>
    <n v="6"/>
    <n v="229.31"/>
    <n v="63.47"/>
  </r>
  <r>
    <s v="ORD0191"/>
    <x v="153"/>
    <x v="4"/>
    <x v="1"/>
    <x v="3"/>
    <n v="5"/>
    <n v="129.03"/>
    <n v="10.99"/>
  </r>
  <r>
    <s v="ORD0192"/>
    <x v="154"/>
    <x v="9"/>
    <x v="0"/>
    <x v="2"/>
    <n v="6"/>
    <n v="3522.31"/>
    <n v="468.73"/>
  </r>
  <r>
    <s v="ORD0193"/>
    <x v="155"/>
    <x v="4"/>
    <x v="1"/>
    <x v="3"/>
    <n v="7"/>
    <n v="183.6"/>
    <n v="32.18"/>
  </r>
  <r>
    <s v="ORD0194"/>
    <x v="156"/>
    <x v="5"/>
    <x v="2"/>
    <x v="0"/>
    <n v="2"/>
    <n v="479.2"/>
    <n v="42.49"/>
  </r>
  <r>
    <s v="ORD0195"/>
    <x v="46"/>
    <x v="1"/>
    <x v="0"/>
    <x v="3"/>
    <n v="5"/>
    <n v="342.06"/>
    <n v="60.13"/>
  </r>
  <r>
    <s v="ORD0196"/>
    <x v="110"/>
    <x v="3"/>
    <x v="2"/>
    <x v="3"/>
    <n v="7"/>
    <n v="2095.91"/>
    <n v="549"/>
  </r>
  <r>
    <s v="ORD0197"/>
    <x v="119"/>
    <x v="0"/>
    <x v="0"/>
    <x v="0"/>
    <n v="2"/>
    <n v="328.73"/>
    <n v="44.38"/>
  </r>
  <r>
    <s v="ORD0198"/>
    <x v="157"/>
    <x v="6"/>
    <x v="1"/>
    <x v="2"/>
    <n v="6"/>
    <n v="178.33"/>
    <n v="35.86"/>
  </r>
  <r>
    <s v="ORD0199"/>
    <x v="158"/>
    <x v="0"/>
    <x v="0"/>
    <x v="0"/>
    <n v="2"/>
    <n v="354.97"/>
    <n v="91.45"/>
  </r>
  <r>
    <s v="ORD0200"/>
    <x v="144"/>
    <x v="3"/>
    <x v="2"/>
    <x v="1"/>
    <n v="6"/>
    <n v="1769.76"/>
    <n v="175.24"/>
  </r>
  <r>
    <s v="ORD0201"/>
    <x v="68"/>
    <x v="3"/>
    <x v="2"/>
    <x v="2"/>
    <n v="6"/>
    <n v="1754.75"/>
    <n v="193.95"/>
  </r>
  <r>
    <s v="ORD0202"/>
    <x v="17"/>
    <x v="8"/>
    <x v="0"/>
    <x v="3"/>
    <n v="2"/>
    <n v="293.97000000000003"/>
    <n v="29.2"/>
  </r>
  <r>
    <s v="ORD0203"/>
    <x v="159"/>
    <x v="5"/>
    <x v="2"/>
    <x v="3"/>
    <n v="3"/>
    <n v="671.41"/>
    <n v="129.12"/>
  </r>
  <r>
    <s v="ORD0204"/>
    <x v="160"/>
    <x v="5"/>
    <x v="2"/>
    <x v="2"/>
    <n v="2"/>
    <n v="472.88"/>
    <n v="126.84"/>
  </r>
  <r>
    <s v="ORD0205"/>
    <x v="121"/>
    <x v="3"/>
    <x v="2"/>
    <x v="2"/>
    <n v="1"/>
    <n v="291.10000000000002"/>
    <n v="56.93"/>
  </r>
  <r>
    <s v="ORD0206"/>
    <x v="120"/>
    <x v="2"/>
    <x v="1"/>
    <x v="1"/>
    <n v="3"/>
    <n v="113.38"/>
    <n v="11.52"/>
  </r>
  <r>
    <s v="ORD0207"/>
    <x v="143"/>
    <x v="1"/>
    <x v="0"/>
    <x v="2"/>
    <n v="6"/>
    <n v="456.67"/>
    <n v="110.26"/>
  </r>
  <r>
    <s v="ORD0208"/>
    <x v="161"/>
    <x v="1"/>
    <x v="0"/>
    <x v="2"/>
    <n v="1"/>
    <n v="67.930000000000007"/>
    <n v="9.15"/>
  </r>
  <r>
    <s v="ORD0209"/>
    <x v="162"/>
    <x v="7"/>
    <x v="1"/>
    <x v="3"/>
    <n v="6"/>
    <n v="337.06"/>
    <n v="36.619999999999997"/>
  </r>
  <r>
    <s v="ORD0210"/>
    <x v="163"/>
    <x v="3"/>
    <x v="2"/>
    <x v="3"/>
    <n v="2"/>
    <n v="551.01"/>
    <n v="102.54"/>
  </r>
  <r>
    <s v="ORD0211"/>
    <x v="144"/>
    <x v="3"/>
    <x v="2"/>
    <x v="2"/>
    <n v="7"/>
    <n v="1956.11"/>
    <n v="278.41000000000003"/>
  </r>
  <r>
    <s v="ORD0212"/>
    <x v="164"/>
    <x v="5"/>
    <x v="2"/>
    <x v="0"/>
    <n v="2"/>
    <n v="409.85"/>
    <n v="83.43"/>
  </r>
  <r>
    <s v="ORD0213"/>
    <x v="54"/>
    <x v="0"/>
    <x v="0"/>
    <x v="1"/>
    <n v="5"/>
    <n v="897.42"/>
    <n v="151.13"/>
  </r>
  <r>
    <s v="ORD0214"/>
    <x v="165"/>
    <x v="7"/>
    <x v="1"/>
    <x v="3"/>
    <n v="4"/>
    <n v="232.57"/>
    <n v="23.76"/>
  </r>
  <r>
    <s v="ORD0215"/>
    <x v="155"/>
    <x v="6"/>
    <x v="1"/>
    <x v="2"/>
    <n v="8"/>
    <n v="218.18"/>
    <n v="34.700000000000003"/>
  </r>
  <r>
    <s v="ORD0216"/>
    <x v="82"/>
    <x v="6"/>
    <x v="1"/>
    <x v="0"/>
    <n v="1"/>
    <n v="28.81"/>
    <n v="3.52"/>
  </r>
  <r>
    <s v="ORD0217"/>
    <x v="166"/>
    <x v="4"/>
    <x v="1"/>
    <x v="2"/>
    <n v="5"/>
    <n v="115.5"/>
    <n v="20.73"/>
  </r>
  <r>
    <s v="ORD0218"/>
    <x v="167"/>
    <x v="3"/>
    <x v="2"/>
    <x v="1"/>
    <n v="3"/>
    <n v="905.86"/>
    <n v="114.16"/>
  </r>
  <r>
    <s v="ORD0219"/>
    <x v="112"/>
    <x v="1"/>
    <x v="0"/>
    <x v="1"/>
    <n v="6"/>
    <n v="482.56"/>
    <n v="42.69"/>
  </r>
  <r>
    <s v="ORD0220"/>
    <x v="168"/>
    <x v="9"/>
    <x v="0"/>
    <x v="2"/>
    <n v="8"/>
    <n v="5278.79"/>
    <n v="1027.67"/>
  </r>
  <r>
    <s v="ORD0221"/>
    <x v="143"/>
    <x v="3"/>
    <x v="2"/>
    <x v="1"/>
    <n v="5"/>
    <n v="1356.26"/>
    <n v="196.59"/>
  </r>
  <r>
    <s v="ORD0222"/>
    <x v="97"/>
    <x v="6"/>
    <x v="1"/>
    <x v="2"/>
    <n v="8"/>
    <n v="220.23"/>
    <n v="54.81"/>
  </r>
  <r>
    <s v="ORD0223"/>
    <x v="28"/>
    <x v="2"/>
    <x v="1"/>
    <x v="1"/>
    <n v="7"/>
    <n v="281.33999999999997"/>
    <n v="44.78"/>
  </r>
  <r>
    <s v="ORD0224"/>
    <x v="58"/>
    <x v="7"/>
    <x v="1"/>
    <x v="2"/>
    <n v="6"/>
    <n v="380.1"/>
    <n v="36.21"/>
  </r>
  <r>
    <s v="ORD0225"/>
    <x v="47"/>
    <x v="0"/>
    <x v="0"/>
    <x v="2"/>
    <n v="4"/>
    <n v="752.74"/>
    <n v="183.51"/>
  </r>
  <r>
    <s v="ORD0226"/>
    <x v="169"/>
    <x v="4"/>
    <x v="1"/>
    <x v="0"/>
    <n v="4"/>
    <n v="95.12"/>
    <n v="10.91"/>
  </r>
  <r>
    <s v="ORD0227"/>
    <x v="170"/>
    <x v="4"/>
    <x v="1"/>
    <x v="1"/>
    <n v="2"/>
    <n v="49.64"/>
    <n v="9.57"/>
  </r>
  <r>
    <s v="ORD0228"/>
    <x v="171"/>
    <x v="6"/>
    <x v="1"/>
    <x v="2"/>
    <n v="8"/>
    <n v="257.48"/>
    <n v="52.9"/>
  </r>
  <r>
    <s v="ORD0229"/>
    <x v="29"/>
    <x v="4"/>
    <x v="1"/>
    <x v="1"/>
    <n v="8"/>
    <n v="197.69"/>
    <n v="27.79"/>
  </r>
  <r>
    <s v="ORD0230"/>
    <x v="172"/>
    <x v="7"/>
    <x v="1"/>
    <x v="3"/>
    <n v="1"/>
    <n v="57.72"/>
    <n v="9.83"/>
  </r>
  <r>
    <s v="ORD0231"/>
    <x v="173"/>
    <x v="9"/>
    <x v="0"/>
    <x v="3"/>
    <n v="6"/>
    <n v="4012.84"/>
    <n v="1105.43"/>
  </r>
  <r>
    <s v="ORD0232"/>
    <x v="35"/>
    <x v="0"/>
    <x v="0"/>
    <x v="3"/>
    <n v="7"/>
    <n v="1247.33"/>
    <n v="301.81"/>
  </r>
  <r>
    <s v="ORD0233"/>
    <x v="115"/>
    <x v="2"/>
    <x v="1"/>
    <x v="1"/>
    <n v="6"/>
    <n v="240.07"/>
    <n v="65.19"/>
  </r>
  <r>
    <s v="ORD0234"/>
    <x v="51"/>
    <x v="8"/>
    <x v="0"/>
    <x v="3"/>
    <n v="2"/>
    <n v="320.29000000000002"/>
    <n v="36.68"/>
  </r>
  <r>
    <s v="ORD0235"/>
    <x v="113"/>
    <x v="2"/>
    <x v="1"/>
    <x v="0"/>
    <n v="8"/>
    <n v="311.29000000000002"/>
    <n v="82.05"/>
  </r>
  <r>
    <s v="ORD0236"/>
    <x v="174"/>
    <x v="3"/>
    <x v="2"/>
    <x v="3"/>
    <n v="7"/>
    <n v="2221.48"/>
    <n v="465.31"/>
  </r>
  <r>
    <s v="ORD0237"/>
    <x v="175"/>
    <x v="0"/>
    <x v="0"/>
    <x v="1"/>
    <n v="6"/>
    <n v="1033.3800000000001"/>
    <n v="232.25"/>
  </r>
  <r>
    <s v="ORD0238"/>
    <x v="152"/>
    <x v="6"/>
    <x v="1"/>
    <x v="3"/>
    <n v="3"/>
    <n v="91.49"/>
    <n v="9.91"/>
  </r>
  <r>
    <s v="ORD0239"/>
    <x v="158"/>
    <x v="5"/>
    <x v="2"/>
    <x v="1"/>
    <n v="5"/>
    <n v="1018.37"/>
    <n v="225.84"/>
  </r>
  <r>
    <s v="ORD0240"/>
    <x v="176"/>
    <x v="0"/>
    <x v="0"/>
    <x v="1"/>
    <n v="5"/>
    <n v="925.83"/>
    <n v="134.88999999999999"/>
  </r>
  <r>
    <s v="ORD0241"/>
    <x v="177"/>
    <x v="4"/>
    <x v="1"/>
    <x v="1"/>
    <n v="2"/>
    <n v="50.08"/>
    <n v="4.1900000000000004"/>
  </r>
  <r>
    <s v="ORD0242"/>
    <x v="178"/>
    <x v="7"/>
    <x v="1"/>
    <x v="2"/>
    <n v="3"/>
    <n v="196.12"/>
    <n v="34.76"/>
  </r>
  <r>
    <s v="ORD0243"/>
    <x v="179"/>
    <x v="2"/>
    <x v="1"/>
    <x v="3"/>
    <n v="3"/>
    <n v="115.1"/>
    <n v="27.35"/>
  </r>
  <r>
    <s v="ORD0244"/>
    <x v="180"/>
    <x v="1"/>
    <x v="0"/>
    <x v="2"/>
    <n v="1"/>
    <n v="80.650000000000006"/>
    <n v="16.420000000000002"/>
  </r>
  <r>
    <s v="ORD0245"/>
    <x v="22"/>
    <x v="6"/>
    <x v="1"/>
    <x v="0"/>
    <n v="7"/>
    <n v="196.6"/>
    <n v="42.97"/>
  </r>
  <r>
    <s v="ORD0246"/>
    <x v="113"/>
    <x v="6"/>
    <x v="1"/>
    <x v="3"/>
    <n v="3"/>
    <n v="88.4"/>
    <n v="19.03"/>
  </r>
  <r>
    <s v="ORD0247"/>
    <x v="146"/>
    <x v="2"/>
    <x v="1"/>
    <x v="2"/>
    <n v="8"/>
    <n v="336.15"/>
    <n v="79.59"/>
  </r>
  <r>
    <s v="ORD0248"/>
    <x v="181"/>
    <x v="2"/>
    <x v="1"/>
    <x v="1"/>
    <n v="4"/>
    <n v="172.93"/>
    <n v="20.54"/>
  </r>
  <r>
    <s v="ORD0249"/>
    <x v="35"/>
    <x v="6"/>
    <x v="1"/>
    <x v="2"/>
    <n v="8"/>
    <n v="253.35"/>
    <n v="45.75"/>
  </r>
  <r>
    <s v="ORD0250"/>
    <x v="87"/>
    <x v="3"/>
    <x v="2"/>
    <x v="0"/>
    <n v="3"/>
    <n v="967.14"/>
    <n v="87.46"/>
  </r>
  <r>
    <s v="ORD0251"/>
    <x v="19"/>
    <x v="8"/>
    <x v="0"/>
    <x v="3"/>
    <n v="6"/>
    <n v="1000.59"/>
    <n v="183.29"/>
  </r>
  <r>
    <s v="ORD0252"/>
    <x v="182"/>
    <x v="0"/>
    <x v="0"/>
    <x v="0"/>
    <n v="5"/>
    <n v="859.1"/>
    <n v="224.28"/>
  </r>
  <r>
    <s v="ORD0253"/>
    <x v="17"/>
    <x v="4"/>
    <x v="1"/>
    <x v="0"/>
    <n v="7"/>
    <n v="186.08"/>
    <n v="47.81"/>
  </r>
  <r>
    <s v="ORD0254"/>
    <x v="183"/>
    <x v="9"/>
    <x v="0"/>
    <x v="1"/>
    <n v="7"/>
    <n v="4551.83"/>
    <n v="578.79"/>
  </r>
  <r>
    <s v="ORD0255"/>
    <x v="59"/>
    <x v="0"/>
    <x v="0"/>
    <x v="3"/>
    <n v="6"/>
    <n v="1040.8399999999999"/>
    <n v="103.89"/>
  </r>
  <r>
    <s v="ORD0256"/>
    <x v="184"/>
    <x v="5"/>
    <x v="2"/>
    <x v="3"/>
    <n v="3"/>
    <n v="631.87"/>
    <n v="155.41"/>
  </r>
  <r>
    <s v="ORD0257"/>
    <x v="3"/>
    <x v="4"/>
    <x v="1"/>
    <x v="3"/>
    <n v="8"/>
    <n v="216.23"/>
    <n v="18.12"/>
  </r>
  <r>
    <s v="ORD0258"/>
    <x v="76"/>
    <x v="2"/>
    <x v="1"/>
    <x v="1"/>
    <n v="3"/>
    <n v="110.67"/>
    <n v="15.23"/>
  </r>
  <r>
    <s v="ORD0259"/>
    <x v="185"/>
    <x v="7"/>
    <x v="1"/>
    <x v="0"/>
    <n v="2"/>
    <n v="118.08"/>
    <n v="28.2"/>
  </r>
  <r>
    <s v="ORD0260"/>
    <x v="186"/>
    <x v="8"/>
    <x v="0"/>
    <x v="1"/>
    <n v="2"/>
    <n v="326.19"/>
    <n v="27.17"/>
  </r>
  <r>
    <s v="ORD0261"/>
    <x v="187"/>
    <x v="1"/>
    <x v="0"/>
    <x v="2"/>
    <n v="4"/>
    <n v="295.75"/>
    <n v="60.03"/>
  </r>
  <r>
    <s v="ORD0262"/>
    <x v="188"/>
    <x v="2"/>
    <x v="1"/>
    <x v="3"/>
    <n v="7"/>
    <n v="281.32"/>
    <n v="42.79"/>
  </r>
  <r>
    <s v="ORD0263"/>
    <x v="81"/>
    <x v="1"/>
    <x v="0"/>
    <x v="1"/>
    <n v="1"/>
    <n v="68.150000000000006"/>
    <n v="10.73"/>
  </r>
  <r>
    <s v="ORD0264"/>
    <x v="189"/>
    <x v="5"/>
    <x v="2"/>
    <x v="2"/>
    <n v="5"/>
    <n v="1163.47"/>
    <n v="173.31"/>
  </r>
  <r>
    <s v="ORD0265"/>
    <x v="190"/>
    <x v="0"/>
    <x v="0"/>
    <x v="3"/>
    <n v="6"/>
    <n v="1048.0999999999999"/>
    <n v="154.81"/>
  </r>
  <r>
    <s v="ORD0266"/>
    <x v="91"/>
    <x v="4"/>
    <x v="1"/>
    <x v="1"/>
    <n v="8"/>
    <n v="205.27"/>
    <n v="49.74"/>
  </r>
  <r>
    <s v="ORD0267"/>
    <x v="191"/>
    <x v="0"/>
    <x v="0"/>
    <x v="2"/>
    <n v="8"/>
    <n v="1354.06"/>
    <n v="322.57"/>
  </r>
  <r>
    <s v="ORD0268"/>
    <x v="181"/>
    <x v="9"/>
    <x v="0"/>
    <x v="1"/>
    <n v="6"/>
    <n v="4281.5200000000004"/>
    <n v="807.52"/>
  </r>
  <r>
    <s v="ORD0269"/>
    <x v="192"/>
    <x v="7"/>
    <x v="1"/>
    <x v="0"/>
    <n v="1"/>
    <n v="57.43"/>
    <n v="14.5"/>
  </r>
  <r>
    <s v="ORD0270"/>
    <x v="79"/>
    <x v="9"/>
    <x v="0"/>
    <x v="3"/>
    <n v="6"/>
    <n v="4133.49"/>
    <n v="691.91"/>
  </r>
  <r>
    <s v="ORD0271"/>
    <x v="193"/>
    <x v="3"/>
    <x v="2"/>
    <x v="2"/>
    <n v="8"/>
    <n v="2627.39"/>
    <n v="470.94"/>
  </r>
  <r>
    <s v="ORD0272"/>
    <x v="117"/>
    <x v="8"/>
    <x v="0"/>
    <x v="2"/>
    <n v="6"/>
    <n v="1017.82"/>
    <n v="229.43"/>
  </r>
  <r>
    <s v="ORD0273"/>
    <x v="194"/>
    <x v="0"/>
    <x v="0"/>
    <x v="0"/>
    <n v="7"/>
    <n v="1271.46"/>
    <n v="183.4"/>
  </r>
  <r>
    <s v="ORD0274"/>
    <x v="180"/>
    <x v="0"/>
    <x v="0"/>
    <x v="2"/>
    <n v="6"/>
    <n v="1038.2"/>
    <n v="208.18"/>
  </r>
  <r>
    <s v="ORD0275"/>
    <x v="97"/>
    <x v="3"/>
    <x v="2"/>
    <x v="1"/>
    <n v="3"/>
    <n v="873.28"/>
    <n v="77.260000000000005"/>
  </r>
  <r>
    <s v="ORD0276"/>
    <x v="0"/>
    <x v="5"/>
    <x v="2"/>
    <x v="3"/>
    <n v="7"/>
    <n v="1409.11"/>
    <n v="292.39"/>
  </r>
  <r>
    <s v="ORD0277"/>
    <x v="195"/>
    <x v="5"/>
    <x v="2"/>
    <x v="0"/>
    <n v="3"/>
    <n v="706.02"/>
    <n v="152.22999999999999"/>
  </r>
  <r>
    <s v="ORD0278"/>
    <x v="196"/>
    <x v="8"/>
    <x v="0"/>
    <x v="3"/>
    <n v="1"/>
    <n v="151.55000000000001"/>
    <n v="31.68"/>
  </r>
  <r>
    <s v="ORD0279"/>
    <x v="197"/>
    <x v="5"/>
    <x v="2"/>
    <x v="3"/>
    <n v="7"/>
    <n v="1572.37"/>
    <n v="339.34"/>
  </r>
  <r>
    <s v="ORD0280"/>
    <x v="198"/>
    <x v="5"/>
    <x v="2"/>
    <x v="3"/>
    <n v="6"/>
    <n v="1339.52"/>
    <n v="249.01"/>
  </r>
  <r>
    <s v="ORD0281"/>
    <x v="86"/>
    <x v="3"/>
    <x v="2"/>
    <x v="2"/>
    <n v="6"/>
    <n v="1709.86"/>
    <n v="175.59"/>
  </r>
  <r>
    <s v="ORD0282"/>
    <x v="117"/>
    <x v="4"/>
    <x v="1"/>
    <x v="1"/>
    <n v="8"/>
    <n v="216.54"/>
    <n v="22.42"/>
  </r>
  <r>
    <s v="ORD0283"/>
    <x v="178"/>
    <x v="7"/>
    <x v="1"/>
    <x v="2"/>
    <n v="8"/>
    <n v="498.62"/>
    <n v="139.47999999999999"/>
  </r>
  <r>
    <s v="ORD0284"/>
    <x v="199"/>
    <x v="2"/>
    <x v="1"/>
    <x v="3"/>
    <n v="2"/>
    <n v="79.23"/>
    <n v="20.58"/>
  </r>
  <r>
    <s v="ORD0285"/>
    <x v="200"/>
    <x v="8"/>
    <x v="0"/>
    <x v="2"/>
    <n v="2"/>
    <n v="330.74"/>
    <n v="73.39"/>
  </r>
  <r>
    <s v="ORD0286"/>
    <x v="201"/>
    <x v="1"/>
    <x v="0"/>
    <x v="0"/>
    <n v="5"/>
    <n v="390.89"/>
    <n v="103.77"/>
  </r>
  <r>
    <s v="ORD0287"/>
    <x v="202"/>
    <x v="4"/>
    <x v="1"/>
    <x v="0"/>
    <n v="6"/>
    <n v="138.63999999999999"/>
    <n v="16.66"/>
  </r>
  <r>
    <s v="ORD0288"/>
    <x v="147"/>
    <x v="4"/>
    <x v="1"/>
    <x v="3"/>
    <n v="4"/>
    <n v="97.22"/>
    <n v="18.899999999999999"/>
  </r>
  <r>
    <s v="ORD0289"/>
    <x v="203"/>
    <x v="8"/>
    <x v="0"/>
    <x v="3"/>
    <n v="3"/>
    <n v="438.31"/>
    <n v="69.97"/>
  </r>
  <r>
    <s v="ORD0290"/>
    <x v="128"/>
    <x v="8"/>
    <x v="0"/>
    <x v="3"/>
    <n v="7"/>
    <n v="1036.07"/>
    <n v="148.58000000000001"/>
  </r>
  <r>
    <s v="ORD0291"/>
    <x v="70"/>
    <x v="0"/>
    <x v="0"/>
    <x v="2"/>
    <n v="8"/>
    <n v="1332.96"/>
    <n v="327.66000000000003"/>
  </r>
  <r>
    <s v="ORD0292"/>
    <x v="167"/>
    <x v="1"/>
    <x v="0"/>
    <x v="1"/>
    <n v="3"/>
    <n v="225.13"/>
    <n v="57.1"/>
  </r>
  <r>
    <s v="ORD0293"/>
    <x v="204"/>
    <x v="0"/>
    <x v="0"/>
    <x v="0"/>
    <n v="3"/>
    <n v="503.49"/>
    <n v="134.41"/>
  </r>
  <r>
    <s v="ORD0294"/>
    <x v="117"/>
    <x v="2"/>
    <x v="1"/>
    <x v="2"/>
    <n v="6"/>
    <n v="256.60000000000002"/>
    <n v="33.39"/>
  </r>
  <r>
    <s v="ORD0295"/>
    <x v="196"/>
    <x v="1"/>
    <x v="0"/>
    <x v="2"/>
    <n v="5"/>
    <n v="383.58"/>
    <n v="37.85"/>
  </r>
  <r>
    <s v="ORD0296"/>
    <x v="205"/>
    <x v="4"/>
    <x v="1"/>
    <x v="2"/>
    <n v="3"/>
    <n v="80.14"/>
    <n v="15.44"/>
  </r>
  <r>
    <s v="ORD0297"/>
    <x v="206"/>
    <x v="9"/>
    <x v="0"/>
    <x v="2"/>
    <n v="2"/>
    <n v="1339.29"/>
    <n v="312.58"/>
  </r>
  <r>
    <s v="ORD0298"/>
    <x v="207"/>
    <x v="3"/>
    <x v="2"/>
    <x v="2"/>
    <n v="1"/>
    <n v="308.51"/>
    <n v="43.32"/>
  </r>
  <r>
    <s v="ORD0299"/>
    <x v="208"/>
    <x v="2"/>
    <x v="1"/>
    <x v="1"/>
    <n v="7"/>
    <n v="256.08999999999997"/>
    <n v="23.56"/>
  </r>
  <r>
    <s v="ORD0300"/>
    <x v="209"/>
    <x v="8"/>
    <x v="0"/>
    <x v="1"/>
    <n v="7"/>
    <n v="1053.7"/>
    <n v="212.14"/>
  </r>
  <r>
    <s v="ORD0301"/>
    <x v="210"/>
    <x v="5"/>
    <x v="2"/>
    <x v="1"/>
    <n v="6"/>
    <n v="1222.52"/>
    <n v="188.4"/>
  </r>
  <r>
    <s v="ORD0302"/>
    <x v="211"/>
    <x v="1"/>
    <x v="0"/>
    <x v="0"/>
    <n v="2"/>
    <n v="148.99"/>
    <n v="19.89"/>
  </r>
  <r>
    <s v="ORD0303"/>
    <x v="212"/>
    <x v="2"/>
    <x v="1"/>
    <x v="3"/>
    <n v="3"/>
    <n v="114.97"/>
    <n v="18.03"/>
  </r>
  <r>
    <s v="ORD0304"/>
    <x v="107"/>
    <x v="6"/>
    <x v="1"/>
    <x v="0"/>
    <n v="7"/>
    <n v="223.17"/>
    <n v="59.53"/>
  </r>
  <r>
    <s v="ORD0305"/>
    <x v="213"/>
    <x v="5"/>
    <x v="2"/>
    <x v="1"/>
    <n v="4"/>
    <n v="967.29"/>
    <n v="167.69"/>
  </r>
  <r>
    <s v="ORD0306"/>
    <x v="214"/>
    <x v="7"/>
    <x v="1"/>
    <x v="3"/>
    <n v="8"/>
    <n v="522.74"/>
    <n v="94.66"/>
  </r>
  <r>
    <s v="ORD0307"/>
    <x v="16"/>
    <x v="2"/>
    <x v="1"/>
    <x v="2"/>
    <n v="4"/>
    <n v="145.56"/>
    <n v="19.84"/>
  </r>
  <r>
    <s v="ORD0308"/>
    <x v="173"/>
    <x v="6"/>
    <x v="1"/>
    <x v="3"/>
    <n v="8"/>
    <n v="256.66000000000003"/>
    <n v="42.65"/>
  </r>
  <r>
    <s v="ORD0309"/>
    <x v="42"/>
    <x v="7"/>
    <x v="1"/>
    <x v="2"/>
    <n v="6"/>
    <n v="327.26"/>
    <n v="29.53"/>
  </r>
  <r>
    <s v="ORD0310"/>
    <x v="150"/>
    <x v="1"/>
    <x v="0"/>
    <x v="2"/>
    <n v="4"/>
    <n v="274.41000000000003"/>
    <n v="49.63"/>
  </r>
  <r>
    <s v="ORD0311"/>
    <x v="129"/>
    <x v="1"/>
    <x v="0"/>
    <x v="3"/>
    <n v="5"/>
    <n v="347.15"/>
    <n v="34.479999999999997"/>
  </r>
  <r>
    <s v="ORD0312"/>
    <x v="75"/>
    <x v="5"/>
    <x v="2"/>
    <x v="2"/>
    <n v="6"/>
    <n v="1387.31"/>
    <n v="166.22"/>
  </r>
  <r>
    <s v="ORD0313"/>
    <x v="114"/>
    <x v="1"/>
    <x v="0"/>
    <x v="3"/>
    <n v="7"/>
    <n v="477.26"/>
    <n v="51.26"/>
  </r>
  <r>
    <s v="ORD0314"/>
    <x v="117"/>
    <x v="5"/>
    <x v="2"/>
    <x v="1"/>
    <n v="8"/>
    <n v="1636.43"/>
    <n v="423.22"/>
  </r>
  <r>
    <s v="ORD0315"/>
    <x v="203"/>
    <x v="4"/>
    <x v="1"/>
    <x v="2"/>
    <n v="6"/>
    <n v="139.88"/>
    <n v="38.9"/>
  </r>
  <r>
    <s v="ORD0316"/>
    <x v="215"/>
    <x v="7"/>
    <x v="1"/>
    <x v="1"/>
    <n v="6"/>
    <n v="375.03"/>
    <n v="52.49"/>
  </r>
  <r>
    <s v="ORD0317"/>
    <x v="216"/>
    <x v="9"/>
    <x v="0"/>
    <x v="3"/>
    <n v="6"/>
    <n v="4274.32"/>
    <n v="840.93"/>
  </r>
  <r>
    <s v="ORD0318"/>
    <x v="15"/>
    <x v="9"/>
    <x v="0"/>
    <x v="0"/>
    <n v="8"/>
    <n v="5430.26"/>
    <n v="1068.1600000000001"/>
  </r>
  <r>
    <s v="ORD0319"/>
    <x v="73"/>
    <x v="4"/>
    <x v="1"/>
    <x v="0"/>
    <n v="7"/>
    <n v="158.6"/>
    <n v="42.77"/>
  </r>
  <r>
    <s v="ORD0320"/>
    <x v="217"/>
    <x v="0"/>
    <x v="0"/>
    <x v="1"/>
    <n v="4"/>
    <n v="693.17"/>
    <n v="76.45"/>
  </r>
  <r>
    <s v="ORD0321"/>
    <x v="114"/>
    <x v="2"/>
    <x v="1"/>
    <x v="1"/>
    <n v="7"/>
    <n v="300.88"/>
    <n v="68.349999999999994"/>
  </r>
  <r>
    <s v="ORD0322"/>
    <x v="117"/>
    <x v="9"/>
    <x v="0"/>
    <x v="0"/>
    <n v="3"/>
    <n v="1973.75"/>
    <n v="551.91"/>
  </r>
  <r>
    <s v="ORD0323"/>
    <x v="40"/>
    <x v="8"/>
    <x v="0"/>
    <x v="0"/>
    <n v="7"/>
    <n v="1110.96"/>
    <n v="207.33"/>
  </r>
  <r>
    <s v="ORD0324"/>
    <x v="218"/>
    <x v="1"/>
    <x v="0"/>
    <x v="2"/>
    <n v="6"/>
    <n v="459.91"/>
    <n v="54.48"/>
  </r>
  <r>
    <s v="ORD0325"/>
    <x v="75"/>
    <x v="2"/>
    <x v="1"/>
    <x v="2"/>
    <n v="5"/>
    <n v="188.99"/>
    <n v="51.89"/>
  </r>
  <r>
    <s v="ORD0326"/>
    <x v="8"/>
    <x v="7"/>
    <x v="1"/>
    <x v="0"/>
    <n v="5"/>
    <n v="311.41000000000003"/>
    <n v="55.37"/>
  </r>
  <r>
    <s v="ORD0327"/>
    <x v="176"/>
    <x v="8"/>
    <x v="0"/>
    <x v="2"/>
    <n v="6"/>
    <n v="919.26"/>
    <n v="178.98"/>
  </r>
  <r>
    <s v="ORD0328"/>
    <x v="219"/>
    <x v="1"/>
    <x v="0"/>
    <x v="2"/>
    <n v="7"/>
    <n v="572.73"/>
    <n v="137.97999999999999"/>
  </r>
  <r>
    <s v="ORD0329"/>
    <x v="121"/>
    <x v="7"/>
    <x v="1"/>
    <x v="3"/>
    <n v="1"/>
    <n v="58.16"/>
    <n v="9.8000000000000007"/>
  </r>
  <r>
    <s v="ORD0330"/>
    <x v="178"/>
    <x v="7"/>
    <x v="1"/>
    <x v="0"/>
    <n v="8"/>
    <n v="511.48"/>
    <n v="68.650000000000006"/>
  </r>
  <r>
    <s v="ORD0331"/>
    <x v="184"/>
    <x v="1"/>
    <x v="0"/>
    <x v="3"/>
    <n v="5"/>
    <n v="383.68"/>
    <n v="75.73"/>
  </r>
  <r>
    <s v="ORD0332"/>
    <x v="30"/>
    <x v="2"/>
    <x v="1"/>
    <x v="0"/>
    <n v="1"/>
    <n v="41.1"/>
    <n v="3.72"/>
  </r>
  <r>
    <s v="ORD0333"/>
    <x v="220"/>
    <x v="3"/>
    <x v="2"/>
    <x v="3"/>
    <n v="6"/>
    <n v="1865.23"/>
    <n v="200.5"/>
  </r>
  <r>
    <s v="ORD0334"/>
    <x v="37"/>
    <x v="1"/>
    <x v="0"/>
    <x v="1"/>
    <n v="3"/>
    <n v="223.99"/>
    <n v="26.85"/>
  </r>
  <r>
    <s v="ORD0335"/>
    <x v="173"/>
    <x v="7"/>
    <x v="1"/>
    <x v="3"/>
    <n v="6"/>
    <n v="389.37"/>
    <n v="38.119999999999997"/>
  </r>
  <r>
    <s v="ORD0336"/>
    <x v="11"/>
    <x v="6"/>
    <x v="1"/>
    <x v="3"/>
    <n v="4"/>
    <n v="129.91999999999999"/>
    <n v="14.94"/>
  </r>
  <r>
    <s v="ORD0337"/>
    <x v="151"/>
    <x v="4"/>
    <x v="1"/>
    <x v="1"/>
    <n v="1"/>
    <n v="23.43"/>
    <n v="5.38"/>
  </r>
  <r>
    <s v="ORD0338"/>
    <x v="139"/>
    <x v="7"/>
    <x v="1"/>
    <x v="2"/>
    <n v="1"/>
    <n v="60.82"/>
    <n v="6.17"/>
  </r>
  <r>
    <s v="ORD0339"/>
    <x v="144"/>
    <x v="5"/>
    <x v="2"/>
    <x v="1"/>
    <n v="5"/>
    <n v="1185.6400000000001"/>
    <n v="126.67"/>
  </r>
  <r>
    <s v="ORD0340"/>
    <x v="79"/>
    <x v="1"/>
    <x v="0"/>
    <x v="0"/>
    <n v="8"/>
    <n v="637.05999999999995"/>
    <n v="93.1"/>
  </r>
  <r>
    <s v="ORD0341"/>
    <x v="188"/>
    <x v="8"/>
    <x v="0"/>
    <x v="3"/>
    <n v="5"/>
    <n v="837.86"/>
    <n v="199.54"/>
  </r>
  <r>
    <s v="ORD0342"/>
    <x v="153"/>
    <x v="6"/>
    <x v="1"/>
    <x v="1"/>
    <n v="4"/>
    <n v="127.85"/>
    <n v="23.4"/>
  </r>
  <r>
    <s v="ORD0343"/>
    <x v="30"/>
    <x v="0"/>
    <x v="0"/>
    <x v="3"/>
    <n v="7"/>
    <n v="1180.56"/>
    <n v="127.64"/>
  </r>
  <r>
    <s v="ORD0344"/>
    <x v="82"/>
    <x v="5"/>
    <x v="2"/>
    <x v="2"/>
    <n v="4"/>
    <n v="859.51"/>
    <n v="145.56"/>
  </r>
  <r>
    <s v="ORD0345"/>
    <x v="221"/>
    <x v="7"/>
    <x v="1"/>
    <x v="3"/>
    <n v="6"/>
    <n v="342.83"/>
    <n v="52.08"/>
  </r>
  <r>
    <s v="ORD0346"/>
    <x v="49"/>
    <x v="2"/>
    <x v="1"/>
    <x v="3"/>
    <n v="1"/>
    <n v="39.72"/>
    <n v="4.45"/>
  </r>
  <r>
    <s v="ORD0347"/>
    <x v="97"/>
    <x v="1"/>
    <x v="0"/>
    <x v="3"/>
    <n v="5"/>
    <n v="385.4"/>
    <n v="103.34"/>
  </r>
  <r>
    <s v="ORD0348"/>
    <x v="74"/>
    <x v="5"/>
    <x v="2"/>
    <x v="0"/>
    <n v="4"/>
    <n v="876.16"/>
    <n v="149.82"/>
  </r>
  <r>
    <s v="ORD0349"/>
    <x v="72"/>
    <x v="6"/>
    <x v="1"/>
    <x v="1"/>
    <n v="6"/>
    <n v="189.26"/>
    <n v="45.5"/>
  </r>
  <r>
    <s v="ORD0350"/>
    <x v="171"/>
    <x v="2"/>
    <x v="1"/>
    <x v="3"/>
    <n v="4"/>
    <n v="160.82"/>
    <n v="29.85"/>
  </r>
  <r>
    <s v="ORD0351"/>
    <x v="88"/>
    <x v="5"/>
    <x v="2"/>
    <x v="3"/>
    <n v="2"/>
    <n v="401.43"/>
    <n v="76.08"/>
  </r>
  <r>
    <s v="ORD0352"/>
    <x v="104"/>
    <x v="1"/>
    <x v="0"/>
    <x v="0"/>
    <n v="4"/>
    <n v="279.87"/>
    <n v="70.22"/>
  </r>
  <r>
    <s v="ORD0353"/>
    <x v="171"/>
    <x v="8"/>
    <x v="0"/>
    <x v="0"/>
    <n v="2"/>
    <n v="333.88"/>
    <n v="59.35"/>
  </r>
  <r>
    <s v="ORD0354"/>
    <x v="222"/>
    <x v="1"/>
    <x v="0"/>
    <x v="1"/>
    <n v="8"/>
    <n v="555.83000000000004"/>
    <n v="90.65"/>
  </r>
  <r>
    <s v="ORD0355"/>
    <x v="176"/>
    <x v="6"/>
    <x v="1"/>
    <x v="1"/>
    <n v="1"/>
    <n v="31.04"/>
    <n v="4.4000000000000004"/>
  </r>
  <r>
    <s v="ORD0356"/>
    <x v="223"/>
    <x v="9"/>
    <x v="0"/>
    <x v="3"/>
    <n v="7"/>
    <n v="4773.68"/>
    <n v="934.03"/>
  </r>
  <r>
    <s v="ORD0357"/>
    <x v="210"/>
    <x v="9"/>
    <x v="0"/>
    <x v="3"/>
    <n v="7"/>
    <n v="4587.46"/>
    <n v="422.28"/>
  </r>
  <r>
    <s v="ORD0358"/>
    <x v="224"/>
    <x v="0"/>
    <x v="0"/>
    <x v="2"/>
    <n v="8"/>
    <n v="1413.75"/>
    <n v="330.53"/>
  </r>
  <r>
    <s v="ORD0359"/>
    <x v="157"/>
    <x v="3"/>
    <x v="2"/>
    <x v="1"/>
    <n v="6"/>
    <n v="1933.06"/>
    <n v="505.21"/>
  </r>
  <r>
    <s v="ORD0360"/>
    <x v="200"/>
    <x v="3"/>
    <x v="2"/>
    <x v="0"/>
    <n v="2"/>
    <n v="618.41999999999996"/>
    <n v="92.49"/>
  </r>
  <r>
    <s v="ORD0361"/>
    <x v="225"/>
    <x v="4"/>
    <x v="1"/>
    <x v="0"/>
    <n v="7"/>
    <n v="182.98"/>
    <n v="22.79"/>
  </r>
  <r>
    <s v="ORD0362"/>
    <x v="208"/>
    <x v="9"/>
    <x v="0"/>
    <x v="1"/>
    <n v="1"/>
    <n v="672.55"/>
    <n v="127.04"/>
  </r>
  <r>
    <s v="ORD0363"/>
    <x v="226"/>
    <x v="1"/>
    <x v="0"/>
    <x v="0"/>
    <n v="7"/>
    <n v="520.87"/>
    <n v="57.83"/>
  </r>
  <r>
    <s v="ORD0364"/>
    <x v="224"/>
    <x v="2"/>
    <x v="1"/>
    <x v="1"/>
    <n v="2"/>
    <n v="81.84"/>
    <n v="21.87"/>
  </r>
  <r>
    <s v="ORD0365"/>
    <x v="227"/>
    <x v="9"/>
    <x v="0"/>
    <x v="3"/>
    <n v="4"/>
    <n v="2392.4699999999998"/>
    <n v="207.46"/>
  </r>
  <r>
    <s v="ORD0366"/>
    <x v="228"/>
    <x v="6"/>
    <x v="1"/>
    <x v="3"/>
    <n v="1"/>
    <n v="29.41"/>
    <n v="3.73"/>
  </r>
  <r>
    <s v="ORD0367"/>
    <x v="229"/>
    <x v="2"/>
    <x v="1"/>
    <x v="2"/>
    <n v="1"/>
    <n v="37.869999999999997"/>
    <n v="9.9700000000000006"/>
  </r>
  <r>
    <s v="ORD0368"/>
    <x v="106"/>
    <x v="6"/>
    <x v="1"/>
    <x v="2"/>
    <n v="6"/>
    <n v="170.53"/>
    <n v="43.53"/>
  </r>
  <r>
    <s v="ORD0369"/>
    <x v="56"/>
    <x v="1"/>
    <x v="0"/>
    <x v="2"/>
    <n v="4"/>
    <n v="286.51"/>
    <n v="54.82"/>
  </r>
  <r>
    <s v="ORD0370"/>
    <x v="78"/>
    <x v="6"/>
    <x v="1"/>
    <x v="1"/>
    <n v="3"/>
    <n v="91.01"/>
    <n v="8.1300000000000008"/>
  </r>
  <r>
    <s v="ORD0371"/>
    <x v="230"/>
    <x v="5"/>
    <x v="2"/>
    <x v="2"/>
    <n v="7"/>
    <n v="1600.46"/>
    <n v="258.72000000000003"/>
  </r>
  <r>
    <s v="ORD0372"/>
    <x v="231"/>
    <x v="7"/>
    <x v="1"/>
    <x v="1"/>
    <n v="7"/>
    <n v="398.24"/>
    <n v="49.81"/>
  </r>
  <r>
    <s v="ORD0373"/>
    <x v="41"/>
    <x v="4"/>
    <x v="1"/>
    <x v="1"/>
    <n v="8"/>
    <n v="218.71"/>
    <n v="41.87"/>
  </r>
  <r>
    <s v="ORD0374"/>
    <x v="31"/>
    <x v="4"/>
    <x v="1"/>
    <x v="2"/>
    <n v="7"/>
    <n v="164.62"/>
    <n v="34.46"/>
  </r>
  <r>
    <s v="ORD0375"/>
    <x v="5"/>
    <x v="8"/>
    <x v="0"/>
    <x v="0"/>
    <n v="6"/>
    <n v="873.9"/>
    <n v="135.83000000000001"/>
  </r>
  <r>
    <s v="ORD0376"/>
    <x v="232"/>
    <x v="6"/>
    <x v="1"/>
    <x v="0"/>
    <n v="1"/>
    <n v="31.83"/>
    <n v="6.29"/>
  </r>
  <r>
    <s v="ORD0377"/>
    <x v="233"/>
    <x v="1"/>
    <x v="0"/>
    <x v="0"/>
    <n v="4"/>
    <n v="322.17"/>
    <n v="47.23"/>
  </r>
  <r>
    <s v="ORD0378"/>
    <x v="234"/>
    <x v="9"/>
    <x v="0"/>
    <x v="3"/>
    <n v="4"/>
    <n v="2728.38"/>
    <n v="629.89"/>
  </r>
  <r>
    <s v="ORD0379"/>
    <x v="151"/>
    <x v="2"/>
    <x v="1"/>
    <x v="0"/>
    <n v="4"/>
    <n v="161.66999999999999"/>
    <n v="38.01"/>
  </r>
  <r>
    <s v="ORD0380"/>
    <x v="11"/>
    <x v="3"/>
    <x v="2"/>
    <x v="2"/>
    <n v="8"/>
    <n v="2308.04"/>
    <n v="350.66"/>
  </r>
  <r>
    <s v="ORD0381"/>
    <x v="235"/>
    <x v="8"/>
    <x v="0"/>
    <x v="1"/>
    <n v="8"/>
    <n v="1346.98"/>
    <n v="194.03"/>
  </r>
  <r>
    <s v="ORD0382"/>
    <x v="40"/>
    <x v="2"/>
    <x v="1"/>
    <x v="1"/>
    <n v="6"/>
    <n v="218.19"/>
    <n v="55.16"/>
  </r>
  <r>
    <s v="ORD0383"/>
    <x v="44"/>
    <x v="4"/>
    <x v="1"/>
    <x v="1"/>
    <n v="1"/>
    <n v="23.98"/>
    <n v="2.86"/>
  </r>
  <r>
    <s v="ORD0384"/>
    <x v="236"/>
    <x v="2"/>
    <x v="1"/>
    <x v="0"/>
    <n v="7"/>
    <n v="279.95999999999998"/>
    <n v="59.05"/>
  </r>
  <r>
    <s v="ORD0385"/>
    <x v="237"/>
    <x v="5"/>
    <x v="2"/>
    <x v="1"/>
    <n v="5"/>
    <n v="1091.3800000000001"/>
    <n v="247.26"/>
  </r>
  <r>
    <s v="ORD0386"/>
    <x v="229"/>
    <x v="5"/>
    <x v="2"/>
    <x v="1"/>
    <n v="3"/>
    <n v="618.29"/>
    <n v="159.44"/>
  </r>
  <r>
    <s v="ORD0387"/>
    <x v="238"/>
    <x v="9"/>
    <x v="0"/>
    <x v="3"/>
    <n v="1"/>
    <n v="684.36"/>
    <n v="111.19"/>
  </r>
  <r>
    <s v="ORD0388"/>
    <x v="64"/>
    <x v="2"/>
    <x v="1"/>
    <x v="0"/>
    <n v="2"/>
    <n v="72.150000000000006"/>
    <n v="13.07"/>
  </r>
  <r>
    <s v="ORD0389"/>
    <x v="239"/>
    <x v="5"/>
    <x v="2"/>
    <x v="1"/>
    <n v="1"/>
    <n v="227.01"/>
    <n v="18.88"/>
  </r>
  <r>
    <s v="ORD0390"/>
    <x v="240"/>
    <x v="1"/>
    <x v="0"/>
    <x v="3"/>
    <n v="7"/>
    <n v="528.09"/>
    <n v="71.260000000000005"/>
  </r>
  <r>
    <s v="ORD0391"/>
    <x v="241"/>
    <x v="7"/>
    <x v="1"/>
    <x v="1"/>
    <n v="1"/>
    <n v="63.67"/>
    <n v="16.68"/>
  </r>
  <r>
    <s v="ORD0392"/>
    <x v="230"/>
    <x v="0"/>
    <x v="0"/>
    <x v="0"/>
    <n v="2"/>
    <n v="341.35"/>
    <n v="69.62"/>
  </r>
  <r>
    <s v="ORD0393"/>
    <x v="57"/>
    <x v="7"/>
    <x v="1"/>
    <x v="1"/>
    <n v="6"/>
    <n v="329.69"/>
    <n v="89.63"/>
  </r>
  <r>
    <s v="ORD0394"/>
    <x v="91"/>
    <x v="8"/>
    <x v="0"/>
    <x v="0"/>
    <n v="4"/>
    <n v="614.4"/>
    <n v="150.9"/>
  </r>
  <r>
    <s v="ORD0395"/>
    <x v="5"/>
    <x v="0"/>
    <x v="0"/>
    <x v="1"/>
    <n v="1"/>
    <n v="175.65"/>
    <n v="33.47"/>
  </r>
  <r>
    <s v="ORD0396"/>
    <x v="100"/>
    <x v="9"/>
    <x v="0"/>
    <x v="0"/>
    <n v="1"/>
    <n v="595.75"/>
    <n v="148.38"/>
  </r>
  <r>
    <s v="ORD0397"/>
    <x v="225"/>
    <x v="5"/>
    <x v="2"/>
    <x v="3"/>
    <n v="2"/>
    <n v="416.22"/>
    <n v="108.32"/>
  </r>
  <r>
    <s v="ORD0398"/>
    <x v="242"/>
    <x v="6"/>
    <x v="1"/>
    <x v="3"/>
    <n v="8"/>
    <n v="260.36"/>
    <n v="56.47"/>
  </r>
  <r>
    <s v="ORD0399"/>
    <x v="243"/>
    <x v="7"/>
    <x v="1"/>
    <x v="2"/>
    <n v="1"/>
    <n v="54.19"/>
    <n v="6.58"/>
  </r>
  <r>
    <s v="ORD0400"/>
    <x v="168"/>
    <x v="4"/>
    <x v="1"/>
    <x v="2"/>
    <n v="7"/>
    <n v="163.19"/>
    <n v="20.9"/>
  </r>
  <r>
    <s v="ORD0401"/>
    <x v="137"/>
    <x v="3"/>
    <x v="2"/>
    <x v="0"/>
    <n v="6"/>
    <n v="1904.58"/>
    <n v="414.94"/>
  </r>
  <r>
    <s v="ORD0402"/>
    <x v="183"/>
    <x v="0"/>
    <x v="0"/>
    <x v="3"/>
    <n v="6"/>
    <n v="1066.4100000000001"/>
    <n v="264.19"/>
  </r>
  <r>
    <s v="ORD0403"/>
    <x v="67"/>
    <x v="5"/>
    <x v="2"/>
    <x v="3"/>
    <n v="7"/>
    <n v="1581.31"/>
    <n v="374.31"/>
  </r>
  <r>
    <s v="ORD0404"/>
    <x v="244"/>
    <x v="8"/>
    <x v="0"/>
    <x v="2"/>
    <n v="8"/>
    <n v="1293.58"/>
    <n v="200.62"/>
  </r>
  <r>
    <s v="ORD0405"/>
    <x v="245"/>
    <x v="4"/>
    <x v="1"/>
    <x v="2"/>
    <n v="7"/>
    <n v="185.43"/>
    <n v="41.28"/>
  </r>
  <r>
    <s v="ORD0406"/>
    <x v="22"/>
    <x v="0"/>
    <x v="0"/>
    <x v="1"/>
    <n v="5"/>
    <n v="938.1"/>
    <n v="193.98"/>
  </r>
  <r>
    <s v="ORD0407"/>
    <x v="246"/>
    <x v="3"/>
    <x v="2"/>
    <x v="3"/>
    <n v="6"/>
    <n v="1652.95"/>
    <n v="443.97"/>
  </r>
  <r>
    <s v="ORD0408"/>
    <x v="242"/>
    <x v="8"/>
    <x v="0"/>
    <x v="3"/>
    <n v="6"/>
    <n v="889.44"/>
    <n v="104.49"/>
  </r>
  <r>
    <s v="ORD0409"/>
    <x v="169"/>
    <x v="8"/>
    <x v="0"/>
    <x v="3"/>
    <n v="7"/>
    <n v="1028.07"/>
    <n v="196.2"/>
  </r>
  <r>
    <s v="ORD0410"/>
    <x v="193"/>
    <x v="6"/>
    <x v="1"/>
    <x v="3"/>
    <n v="6"/>
    <n v="172.51"/>
    <n v="27.18"/>
  </r>
  <r>
    <s v="ORD0411"/>
    <x v="247"/>
    <x v="0"/>
    <x v="0"/>
    <x v="0"/>
    <n v="4"/>
    <n v="746.69"/>
    <n v="85.05"/>
  </r>
  <r>
    <s v="ORD0412"/>
    <x v="248"/>
    <x v="7"/>
    <x v="1"/>
    <x v="1"/>
    <n v="5"/>
    <n v="278.76"/>
    <n v="31.62"/>
  </r>
  <r>
    <s v="ORD0413"/>
    <x v="201"/>
    <x v="7"/>
    <x v="1"/>
    <x v="1"/>
    <n v="7"/>
    <n v="443.74"/>
    <n v="67.55"/>
  </r>
  <r>
    <s v="ORD0414"/>
    <x v="249"/>
    <x v="2"/>
    <x v="1"/>
    <x v="0"/>
    <n v="8"/>
    <n v="317.3"/>
    <n v="33.979999999999997"/>
  </r>
  <r>
    <s v="ORD0415"/>
    <x v="152"/>
    <x v="9"/>
    <x v="0"/>
    <x v="1"/>
    <n v="7"/>
    <n v="4826.71"/>
    <n v="704.26"/>
  </r>
  <r>
    <s v="ORD0416"/>
    <x v="250"/>
    <x v="5"/>
    <x v="2"/>
    <x v="0"/>
    <n v="7"/>
    <n v="1478.53"/>
    <n v="296.66000000000003"/>
  </r>
  <r>
    <s v="ORD0417"/>
    <x v="40"/>
    <x v="2"/>
    <x v="1"/>
    <x v="0"/>
    <n v="8"/>
    <n v="349.73"/>
    <n v="95.74"/>
  </r>
  <r>
    <s v="ORD0418"/>
    <x v="251"/>
    <x v="7"/>
    <x v="1"/>
    <x v="0"/>
    <n v="8"/>
    <n v="463.29"/>
    <n v="63.04"/>
  </r>
  <r>
    <s v="ORD0419"/>
    <x v="143"/>
    <x v="3"/>
    <x v="2"/>
    <x v="0"/>
    <n v="6"/>
    <n v="1833.2"/>
    <n v="346.71"/>
  </r>
  <r>
    <s v="ORD0420"/>
    <x v="35"/>
    <x v="1"/>
    <x v="0"/>
    <x v="0"/>
    <n v="1"/>
    <n v="74.08"/>
    <n v="10.24"/>
  </r>
  <r>
    <s v="ORD0421"/>
    <x v="116"/>
    <x v="0"/>
    <x v="0"/>
    <x v="1"/>
    <n v="7"/>
    <n v="1169.07"/>
    <n v="164.33"/>
  </r>
  <r>
    <s v="ORD0422"/>
    <x v="39"/>
    <x v="7"/>
    <x v="1"/>
    <x v="1"/>
    <n v="3"/>
    <n v="164.66"/>
    <n v="45.8"/>
  </r>
  <r>
    <s v="ORD0423"/>
    <x v="11"/>
    <x v="8"/>
    <x v="0"/>
    <x v="1"/>
    <n v="7"/>
    <n v="1129.78"/>
    <n v="269.05"/>
  </r>
  <r>
    <s v="ORD0424"/>
    <x v="252"/>
    <x v="5"/>
    <x v="2"/>
    <x v="0"/>
    <n v="2"/>
    <n v="453.87"/>
    <n v="68.540000000000006"/>
  </r>
  <r>
    <s v="ORD0425"/>
    <x v="88"/>
    <x v="6"/>
    <x v="1"/>
    <x v="1"/>
    <n v="1"/>
    <n v="32.799999999999997"/>
    <n v="4.8"/>
  </r>
  <r>
    <s v="ORD0426"/>
    <x v="253"/>
    <x v="3"/>
    <x v="2"/>
    <x v="3"/>
    <n v="2"/>
    <n v="571.04999999999995"/>
    <n v="104.01"/>
  </r>
  <r>
    <s v="ORD0427"/>
    <x v="254"/>
    <x v="1"/>
    <x v="0"/>
    <x v="2"/>
    <n v="4"/>
    <n v="293.47000000000003"/>
    <n v="68.81"/>
  </r>
  <r>
    <s v="ORD0428"/>
    <x v="210"/>
    <x v="6"/>
    <x v="1"/>
    <x v="3"/>
    <n v="3"/>
    <n v="89.69"/>
    <n v="12.47"/>
  </r>
  <r>
    <s v="ORD0429"/>
    <x v="163"/>
    <x v="0"/>
    <x v="0"/>
    <x v="2"/>
    <n v="2"/>
    <n v="346.46"/>
    <n v="59.27"/>
  </r>
  <r>
    <s v="ORD0430"/>
    <x v="47"/>
    <x v="2"/>
    <x v="1"/>
    <x v="1"/>
    <n v="8"/>
    <n v="294.25"/>
    <n v="66.03"/>
  </r>
  <r>
    <s v="ORD0431"/>
    <x v="29"/>
    <x v="8"/>
    <x v="0"/>
    <x v="2"/>
    <n v="6"/>
    <n v="872.58"/>
    <n v="193.85"/>
  </r>
  <r>
    <s v="ORD0432"/>
    <x v="192"/>
    <x v="9"/>
    <x v="0"/>
    <x v="3"/>
    <n v="6"/>
    <n v="4038.17"/>
    <n v="455.79"/>
  </r>
  <r>
    <s v="ORD0433"/>
    <x v="7"/>
    <x v="2"/>
    <x v="1"/>
    <x v="0"/>
    <n v="3"/>
    <n v="115.94"/>
    <n v="19.16"/>
  </r>
  <r>
    <s v="ORD0434"/>
    <x v="69"/>
    <x v="8"/>
    <x v="0"/>
    <x v="0"/>
    <n v="4"/>
    <n v="599.86"/>
    <n v="126.85"/>
  </r>
  <r>
    <s v="ORD0435"/>
    <x v="255"/>
    <x v="3"/>
    <x v="2"/>
    <x v="0"/>
    <n v="1"/>
    <n v="296.97000000000003"/>
    <n v="49.27"/>
  </r>
  <r>
    <s v="ORD0436"/>
    <x v="227"/>
    <x v="9"/>
    <x v="0"/>
    <x v="2"/>
    <n v="4"/>
    <n v="2731.21"/>
    <n v="660.26"/>
  </r>
  <r>
    <s v="ORD0437"/>
    <x v="256"/>
    <x v="0"/>
    <x v="0"/>
    <x v="0"/>
    <n v="2"/>
    <n v="350.34"/>
    <n v="41.84"/>
  </r>
  <r>
    <s v="ORD0438"/>
    <x v="257"/>
    <x v="0"/>
    <x v="0"/>
    <x v="1"/>
    <n v="5"/>
    <n v="904.99"/>
    <n v="188.08"/>
  </r>
  <r>
    <s v="ORD0439"/>
    <x v="146"/>
    <x v="6"/>
    <x v="1"/>
    <x v="1"/>
    <n v="7"/>
    <n v="213.65"/>
    <n v="31.96"/>
  </r>
  <r>
    <s v="ORD0440"/>
    <x v="116"/>
    <x v="8"/>
    <x v="0"/>
    <x v="2"/>
    <n v="3"/>
    <n v="520.19000000000005"/>
    <n v="103.02"/>
  </r>
  <r>
    <s v="ORD0441"/>
    <x v="258"/>
    <x v="4"/>
    <x v="1"/>
    <x v="0"/>
    <n v="6"/>
    <n v="144.16"/>
    <n v="16.809999999999999"/>
  </r>
  <r>
    <s v="ORD0442"/>
    <x v="259"/>
    <x v="4"/>
    <x v="1"/>
    <x v="0"/>
    <n v="7"/>
    <n v="177.62"/>
    <n v="29.24"/>
  </r>
  <r>
    <s v="ORD0443"/>
    <x v="159"/>
    <x v="8"/>
    <x v="0"/>
    <x v="0"/>
    <n v="3"/>
    <n v="479.01"/>
    <n v="51.76"/>
  </r>
  <r>
    <s v="ORD0444"/>
    <x v="43"/>
    <x v="5"/>
    <x v="2"/>
    <x v="3"/>
    <n v="8"/>
    <n v="1888.66"/>
    <n v="510.63"/>
  </r>
  <r>
    <s v="ORD0445"/>
    <x v="260"/>
    <x v="8"/>
    <x v="0"/>
    <x v="1"/>
    <n v="3"/>
    <n v="524.53"/>
    <n v="94.99"/>
  </r>
  <r>
    <s v="ORD0446"/>
    <x v="12"/>
    <x v="8"/>
    <x v="0"/>
    <x v="1"/>
    <n v="7"/>
    <n v="1101.0999999999999"/>
    <n v="273.05"/>
  </r>
  <r>
    <s v="ORD0447"/>
    <x v="182"/>
    <x v="8"/>
    <x v="0"/>
    <x v="3"/>
    <n v="3"/>
    <n v="508.4"/>
    <n v="63.1"/>
  </r>
  <r>
    <s v="ORD0448"/>
    <x v="123"/>
    <x v="9"/>
    <x v="0"/>
    <x v="2"/>
    <n v="5"/>
    <n v="3034.34"/>
    <n v="520.28"/>
  </r>
  <r>
    <s v="ORD0449"/>
    <x v="104"/>
    <x v="8"/>
    <x v="0"/>
    <x v="3"/>
    <n v="2"/>
    <n v="305.14"/>
    <n v="57.56"/>
  </r>
  <r>
    <s v="ORD0450"/>
    <x v="261"/>
    <x v="5"/>
    <x v="2"/>
    <x v="0"/>
    <n v="1"/>
    <n v="241.55"/>
    <n v="24.27"/>
  </r>
  <r>
    <s v="ORD0451"/>
    <x v="224"/>
    <x v="2"/>
    <x v="1"/>
    <x v="1"/>
    <n v="5"/>
    <n v="190.51"/>
    <n v="48.09"/>
  </r>
  <r>
    <s v="ORD0452"/>
    <x v="258"/>
    <x v="0"/>
    <x v="0"/>
    <x v="0"/>
    <n v="8"/>
    <n v="1356.44"/>
    <n v="308.62"/>
  </r>
  <r>
    <s v="ORD0453"/>
    <x v="142"/>
    <x v="5"/>
    <x v="2"/>
    <x v="0"/>
    <n v="7"/>
    <n v="1627.73"/>
    <n v="395.06"/>
  </r>
  <r>
    <s v="ORD0454"/>
    <x v="262"/>
    <x v="9"/>
    <x v="0"/>
    <x v="2"/>
    <n v="6"/>
    <n v="3975.55"/>
    <n v="451.92"/>
  </r>
  <r>
    <s v="ORD0455"/>
    <x v="104"/>
    <x v="7"/>
    <x v="1"/>
    <x v="2"/>
    <n v="5"/>
    <n v="327.14"/>
    <n v="59.83"/>
  </r>
  <r>
    <s v="ORD0456"/>
    <x v="160"/>
    <x v="0"/>
    <x v="0"/>
    <x v="3"/>
    <n v="3"/>
    <n v="593.19000000000005"/>
    <n v="150.32"/>
  </r>
  <r>
    <s v="ORD0457"/>
    <x v="107"/>
    <x v="4"/>
    <x v="1"/>
    <x v="0"/>
    <n v="3"/>
    <n v="78.17"/>
    <n v="19.21"/>
  </r>
  <r>
    <s v="ORD0458"/>
    <x v="163"/>
    <x v="3"/>
    <x v="2"/>
    <x v="2"/>
    <n v="8"/>
    <n v="2461.35"/>
    <n v="381.59"/>
  </r>
  <r>
    <s v="ORD0459"/>
    <x v="42"/>
    <x v="0"/>
    <x v="0"/>
    <x v="2"/>
    <n v="2"/>
    <n v="374.02"/>
    <n v="95.55"/>
  </r>
  <r>
    <s v="ORD0460"/>
    <x v="67"/>
    <x v="8"/>
    <x v="0"/>
    <x v="3"/>
    <n v="8"/>
    <n v="1374.44"/>
    <n v="342.83"/>
  </r>
  <r>
    <s v="ORD0461"/>
    <x v="118"/>
    <x v="0"/>
    <x v="0"/>
    <x v="2"/>
    <n v="8"/>
    <n v="1540.83"/>
    <n v="368.47"/>
  </r>
  <r>
    <s v="ORD0462"/>
    <x v="263"/>
    <x v="3"/>
    <x v="2"/>
    <x v="0"/>
    <n v="4"/>
    <n v="1198.73"/>
    <n v="173.3"/>
  </r>
  <r>
    <s v="ORD0463"/>
    <x v="76"/>
    <x v="7"/>
    <x v="1"/>
    <x v="0"/>
    <n v="6"/>
    <n v="364.76"/>
    <n v="64.59"/>
  </r>
  <r>
    <s v="ORD0464"/>
    <x v="206"/>
    <x v="5"/>
    <x v="2"/>
    <x v="3"/>
    <n v="1"/>
    <n v="225.55"/>
    <n v="55.79"/>
  </r>
  <r>
    <s v="ORD0465"/>
    <x v="264"/>
    <x v="9"/>
    <x v="0"/>
    <x v="1"/>
    <n v="2"/>
    <n v="1288.69"/>
    <n v="358.73"/>
  </r>
  <r>
    <s v="ORD0466"/>
    <x v="265"/>
    <x v="3"/>
    <x v="2"/>
    <x v="0"/>
    <n v="4"/>
    <n v="1291.72"/>
    <n v="181.32"/>
  </r>
  <r>
    <s v="ORD0467"/>
    <x v="158"/>
    <x v="7"/>
    <x v="1"/>
    <x v="2"/>
    <n v="2"/>
    <n v="114.01"/>
    <n v="17.600000000000001"/>
  </r>
  <r>
    <s v="ORD0468"/>
    <x v="219"/>
    <x v="4"/>
    <x v="1"/>
    <x v="2"/>
    <n v="1"/>
    <n v="26.13"/>
    <n v="6.04"/>
  </r>
  <r>
    <s v="ORD0469"/>
    <x v="8"/>
    <x v="3"/>
    <x v="2"/>
    <x v="3"/>
    <n v="2"/>
    <n v="540.13"/>
    <n v="94.72"/>
  </r>
  <r>
    <s v="ORD0470"/>
    <x v="117"/>
    <x v="4"/>
    <x v="1"/>
    <x v="1"/>
    <n v="4"/>
    <n v="90.19"/>
    <n v="19.760000000000002"/>
  </r>
  <r>
    <s v="ORD0471"/>
    <x v="266"/>
    <x v="0"/>
    <x v="0"/>
    <x v="0"/>
    <n v="7"/>
    <n v="1254.3800000000001"/>
    <n v="157.79"/>
  </r>
  <r>
    <s v="ORD0472"/>
    <x v="169"/>
    <x v="0"/>
    <x v="0"/>
    <x v="2"/>
    <n v="2"/>
    <n v="350.46"/>
    <n v="49.01"/>
  </r>
  <r>
    <s v="ORD0473"/>
    <x v="20"/>
    <x v="3"/>
    <x v="2"/>
    <x v="0"/>
    <n v="3"/>
    <n v="822.31"/>
    <n v="158.41999999999999"/>
  </r>
  <r>
    <s v="ORD0474"/>
    <x v="261"/>
    <x v="6"/>
    <x v="1"/>
    <x v="2"/>
    <n v="3"/>
    <n v="94"/>
    <n v="19.329999999999998"/>
  </r>
  <r>
    <s v="ORD0475"/>
    <x v="267"/>
    <x v="4"/>
    <x v="1"/>
    <x v="1"/>
    <n v="7"/>
    <n v="187.6"/>
    <n v="18.260000000000002"/>
  </r>
  <r>
    <s v="ORD0476"/>
    <x v="268"/>
    <x v="0"/>
    <x v="0"/>
    <x v="1"/>
    <n v="3"/>
    <n v="523.97"/>
    <n v="86.91"/>
  </r>
  <r>
    <s v="ORD0477"/>
    <x v="269"/>
    <x v="4"/>
    <x v="1"/>
    <x v="3"/>
    <n v="4"/>
    <n v="94.96"/>
    <n v="19.010000000000002"/>
  </r>
  <r>
    <s v="ORD0478"/>
    <x v="97"/>
    <x v="6"/>
    <x v="1"/>
    <x v="3"/>
    <n v="5"/>
    <n v="160.44"/>
    <n v="33.96"/>
  </r>
  <r>
    <s v="ORD0479"/>
    <x v="117"/>
    <x v="7"/>
    <x v="1"/>
    <x v="0"/>
    <n v="4"/>
    <n v="251.9"/>
    <n v="35.04"/>
  </r>
  <r>
    <s v="ORD0480"/>
    <x v="270"/>
    <x v="9"/>
    <x v="0"/>
    <x v="1"/>
    <n v="4"/>
    <n v="2398.63"/>
    <n v="431.55"/>
  </r>
  <r>
    <s v="ORD0481"/>
    <x v="225"/>
    <x v="6"/>
    <x v="1"/>
    <x v="3"/>
    <n v="2"/>
    <n v="65.84"/>
    <n v="17.57"/>
  </r>
  <r>
    <s v="ORD0482"/>
    <x v="236"/>
    <x v="4"/>
    <x v="1"/>
    <x v="1"/>
    <n v="7"/>
    <n v="170.29"/>
    <n v="36.880000000000003"/>
  </r>
  <r>
    <s v="ORD0483"/>
    <x v="189"/>
    <x v="8"/>
    <x v="0"/>
    <x v="3"/>
    <n v="2"/>
    <n v="288.88"/>
    <n v="35.58"/>
  </r>
  <r>
    <s v="ORD0484"/>
    <x v="215"/>
    <x v="9"/>
    <x v="0"/>
    <x v="2"/>
    <n v="7"/>
    <n v="4667"/>
    <n v="841.04"/>
  </r>
  <r>
    <s v="ORD0485"/>
    <x v="100"/>
    <x v="3"/>
    <x v="2"/>
    <x v="1"/>
    <n v="7"/>
    <n v="1924.62"/>
    <n v="360.51"/>
  </r>
  <r>
    <s v="ORD0486"/>
    <x v="60"/>
    <x v="6"/>
    <x v="1"/>
    <x v="3"/>
    <n v="3"/>
    <n v="86.58"/>
    <n v="15.78"/>
  </r>
  <r>
    <s v="ORD0487"/>
    <x v="256"/>
    <x v="2"/>
    <x v="1"/>
    <x v="2"/>
    <n v="3"/>
    <n v="117.38"/>
    <n v="24.28"/>
  </r>
  <r>
    <s v="ORD0488"/>
    <x v="103"/>
    <x v="0"/>
    <x v="0"/>
    <x v="1"/>
    <n v="5"/>
    <n v="941.39"/>
    <n v="234.68"/>
  </r>
  <r>
    <s v="ORD0489"/>
    <x v="95"/>
    <x v="9"/>
    <x v="0"/>
    <x v="1"/>
    <n v="4"/>
    <n v="2400.31"/>
    <n v="485.97"/>
  </r>
  <r>
    <s v="ORD0490"/>
    <x v="49"/>
    <x v="9"/>
    <x v="0"/>
    <x v="0"/>
    <n v="5"/>
    <n v="3002.64"/>
    <n v="665.33"/>
  </r>
  <r>
    <s v="ORD0491"/>
    <x v="207"/>
    <x v="9"/>
    <x v="0"/>
    <x v="2"/>
    <n v="3"/>
    <n v="1958.97"/>
    <n v="463.49"/>
  </r>
  <r>
    <s v="ORD0492"/>
    <x v="271"/>
    <x v="7"/>
    <x v="1"/>
    <x v="0"/>
    <n v="3"/>
    <n v="188.99"/>
    <n v="48.13"/>
  </r>
  <r>
    <s v="ORD0493"/>
    <x v="272"/>
    <x v="0"/>
    <x v="0"/>
    <x v="1"/>
    <n v="1"/>
    <n v="171.79"/>
    <n v="15.94"/>
  </r>
  <r>
    <s v="ORD0494"/>
    <x v="207"/>
    <x v="6"/>
    <x v="1"/>
    <x v="1"/>
    <n v="2"/>
    <n v="60.13"/>
    <n v="5.48"/>
  </r>
  <r>
    <s v="ORD0495"/>
    <x v="273"/>
    <x v="6"/>
    <x v="1"/>
    <x v="0"/>
    <n v="3"/>
    <n v="85.59"/>
    <n v="8.61"/>
  </r>
  <r>
    <s v="ORD0496"/>
    <x v="244"/>
    <x v="6"/>
    <x v="1"/>
    <x v="3"/>
    <n v="2"/>
    <n v="54.53"/>
    <n v="13.77"/>
  </r>
  <r>
    <s v="ORD0497"/>
    <x v="220"/>
    <x v="2"/>
    <x v="1"/>
    <x v="2"/>
    <n v="1"/>
    <n v="39.06"/>
    <n v="4.3"/>
  </r>
  <r>
    <s v="ORD0498"/>
    <x v="59"/>
    <x v="9"/>
    <x v="0"/>
    <x v="2"/>
    <n v="7"/>
    <n v="4320.92"/>
    <n v="1137.1400000000001"/>
  </r>
  <r>
    <s v="ORD0499"/>
    <x v="168"/>
    <x v="5"/>
    <x v="2"/>
    <x v="2"/>
    <n v="5"/>
    <n v="1016.27"/>
    <n v="218.16"/>
  </r>
  <r>
    <s v="ORD0500"/>
    <x v="59"/>
    <x v="9"/>
    <x v="0"/>
    <x v="3"/>
    <n v="3"/>
    <n v="2127.09"/>
    <n v="199.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ACEBE-642A-44B3-9945-AEC57B4AE0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C14" firstHeaderRow="0" firstDataRow="1" firstDataCol="1"/>
  <pivotFields count="9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1">
        <item x="0"/>
        <item x="3"/>
        <item x="7"/>
        <item x="2"/>
        <item x="9"/>
        <item x="5"/>
        <item x="8"/>
        <item x="6"/>
        <item x="1"/>
        <item x="4"/>
        <item t="default"/>
      </items>
    </pivotField>
    <pivotField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98FFA-C3CE-4675-8566-8760BC38FC1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0" firstDataRow="1" firstDataCol="1"/>
  <pivotFields count="9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0306B-686C-4DAD-AE5B-0BAD300428B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7" firstHeaderRow="0" firstDataRow="1" firstDataCol="1"/>
  <pivotFields count="9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3948C-E466-4F1D-87AC-CED815F7446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6" firstHeaderRow="0" firstDataRow="1" firstDataCol="1"/>
  <pivotFields count="9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M12" sqref="M12"/>
    </sheetView>
  </sheetViews>
  <sheetFormatPr defaultRowHeight="14.4" x14ac:dyDescent="0.3"/>
  <cols>
    <col min="2" max="2" width="12" customWidth="1"/>
    <col min="3" max="3" width="14" customWidth="1"/>
    <col min="4" max="4" width="11.6640625" customWidth="1"/>
    <col min="5" max="5" width="8.77734375" customWidth="1"/>
    <col min="6" max="6" width="8.44140625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t="s">
        <v>8</v>
      </c>
      <c r="B2" s="1">
        <v>45798</v>
      </c>
      <c r="C2" t="s">
        <v>9</v>
      </c>
      <c r="D2" t="s">
        <v>10</v>
      </c>
      <c r="E2" t="s">
        <v>11</v>
      </c>
      <c r="F2">
        <v>1</v>
      </c>
      <c r="G2">
        <v>170.04</v>
      </c>
      <c r="H2">
        <v>38.65</v>
      </c>
    </row>
    <row r="3" spans="1:8" x14ac:dyDescent="0.3">
      <c r="A3" t="s">
        <v>12</v>
      </c>
      <c r="B3" s="1">
        <v>45960</v>
      </c>
      <c r="C3" t="s">
        <v>13</v>
      </c>
      <c r="D3" t="s">
        <v>10</v>
      </c>
      <c r="E3" t="s">
        <v>14</v>
      </c>
      <c r="F3">
        <v>2</v>
      </c>
      <c r="G3">
        <v>135.94999999999999</v>
      </c>
      <c r="H3">
        <v>13.42</v>
      </c>
    </row>
    <row r="4" spans="1:8" x14ac:dyDescent="0.3">
      <c r="A4" t="s">
        <v>15</v>
      </c>
      <c r="B4" s="1">
        <v>45945</v>
      </c>
      <c r="C4" t="s">
        <v>16</v>
      </c>
      <c r="D4" t="s">
        <v>17</v>
      </c>
      <c r="E4" t="s">
        <v>11</v>
      </c>
      <c r="F4">
        <v>1</v>
      </c>
      <c r="G4">
        <v>41.73</v>
      </c>
      <c r="H4">
        <v>9.19</v>
      </c>
    </row>
    <row r="5" spans="1:8" x14ac:dyDescent="0.3">
      <c r="A5" t="s">
        <v>18</v>
      </c>
      <c r="B5" s="1">
        <v>45887</v>
      </c>
      <c r="C5" t="s">
        <v>19</v>
      </c>
      <c r="D5" t="s">
        <v>20</v>
      </c>
      <c r="E5" t="s">
        <v>21</v>
      </c>
      <c r="F5">
        <v>4</v>
      </c>
      <c r="G5">
        <v>1274.26</v>
      </c>
      <c r="H5">
        <v>103.6</v>
      </c>
    </row>
    <row r="6" spans="1:8" x14ac:dyDescent="0.3">
      <c r="A6" t="s">
        <v>22</v>
      </c>
      <c r="B6" s="1">
        <v>45832</v>
      </c>
      <c r="C6" t="s">
        <v>23</v>
      </c>
      <c r="D6" t="s">
        <v>17</v>
      </c>
      <c r="E6" t="s">
        <v>21</v>
      </c>
      <c r="F6">
        <v>7</v>
      </c>
      <c r="G6">
        <v>162.94</v>
      </c>
      <c r="H6">
        <v>44.23</v>
      </c>
    </row>
    <row r="7" spans="1:8" x14ac:dyDescent="0.3">
      <c r="A7" t="s">
        <v>24</v>
      </c>
      <c r="B7" s="1">
        <v>45705</v>
      </c>
      <c r="C7" t="s">
        <v>25</v>
      </c>
      <c r="D7" t="s">
        <v>20</v>
      </c>
      <c r="E7" t="s">
        <v>14</v>
      </c>
      <c r="F7">
        <v>2</v>
      </c>
      <c r="G7">
        <v>404.51</v>
      </c>
      <c r="H7">
        <v>100.92</v>
      </c>
    </row>
    <row r="8" spans="1:8" x14ac:dyDescent="0.3">
      <c r="A8" t="s">
        <v>26</v>
      </c>
      <c r="B8" s="1">
        <v>45680</v>
      </c>
      <c r="C8" t="s">
        <v>27</v>
      </c>
      <c r="D8" t="s">
        <v>17</v>
      </c>
      <c r="E8" t="s">
        <v>14</v>
      </c>
      <c r="F8">
        <v>5</v>
      </c>
      <c r="G8">
        <v>151.09</v>
      </c>
      <c r="H8">
        <v>41.49</v>
      </c>
    </row>
    <row r="9" spans="1:8" x14ac:dyDescent="0.3">
      <c r="A9" t="s">
        <v>28</v>
      </c>
      <c r="B9" s="1">
        <v>45940</v>
      </c>
      <c r="C9" t="s">
        <v>19</v>
      </c>
      <c r="D9" t="s">
        <v>20</v>
      </c>
      <c r="E9" t="s">
        <v>21</v>
      </c>
      <c r="F9">
        <v>2</v>
      </c>
      <c r="G9">
        <v>639.53</v>
      </c>
      <c r="H9">
        <v>130.27000000000001</v>
      </c>
    </row>
    <row r="10" spans="1:8" x14ac:dyDescent="0.3">
      <c r="A10" t="s">
        <v>29</v>
      </c>
      <c r="B10" s="1">
        <v>46018</v>
      </c>
      <c r="C10" t="s">
        <v>25</v>
      </c>
      <c r="D10" t="s">
        <v>20</v>
      </c>
      <c r="E10" t="s">
        <v>30</v>
      </c>
      <c r="F10">
        <v>4</v>
      </c>
      <c r="G10">
        <v>800.07</v>
      </c>
      <c r="H10">
        <v>100.47</v>
      </c>
    </row>
    <row r="11" spans="1:8" x14ac:dyDescent="0.3">
      <c r="A11" t="s">
        <v>31</v>
      </c>
      <c r="B11" s="1">
        <v>45777</v>
      </c>
      <c r="C11" t="s">
        <v>32</v>
      </c>
      <c r="D11" t="s">
        <v>17</v>
      </c>
      <c r="E11" t="s">
        <v>30</v>
      </c>
      <c r="F11">
        <v>2</v>
      </c>
      <c r="G11">
        <v>117.12</v>
      </c>
      <c r="H11">
        <v>19.989999999999998</v>
      </c>
    </row>
    <row r="12" spans="1:8" x14ac:dyDescent="0.3">
      <c r="A12" t="s">
        <v>33</v>
      </c>
      <c r="B12" s="1">
        <v>45847</v>
      </c>
      <c r="C12" t="s">
        <v>25</v>
      </c>
      <c r="D12" t="s">
        <v>20</v>
      </c>
      <c r="E12" t="s">
        <v>21</v>
      </c>
      <c r="F12">
        <v>3</v>
      </c>
      <c r="G12">
        <v>621.65</v>
      </c>
      <c r="H12">
        <v>82.93</v>
      </c>
    </row>
    <row r="13" spans="1:8" x14ac:dyDescent="0.3">
      <c r="A13" t="s">
        <v>34</v>
      </c>
      <c r="B13" s="1">
        <v>45931</v>
      </c>
      <c r="C13" t="s">
        <v>9</v>
      </c>
      <c r="D13" t="s">
        <v>10</v>
      </c>
      <c r="E13" t="s">
        <v>11</v>
      </c>
      <c r="F13">
        <v>3</v>
      </c>
      <c r="G13">
        <v>503.65</v>
      </c>
      <c r="H13">
        <v>78.510000000000005</v>
      </c>
    </row>
    <row r="14" spans="1:8" x14ac:dyDescent="0.3">
      <c r="A14" t="s">
        <v>35</v>
      </c>
      <c r="B14" s="1">
        <v>46008</v>
      </c>
      <c r="C14" t="s">
        <v>13</v>
      </c>
      <c r="D14" t="s">
        <v>10</v>
      </c>
      <c r="E14" t="s">
        <v>21</v>
      </c>
      <c r="F14">
        <v>4</v>
      </c>
      <c r="G14">
        <v>320.57</v>
      </c>
      <c r="H14">
        <v>75.400000000000006</v>
      </c>
    </row>
    <row r="15" spans="1:8" x14ac:dyDescent="0.3">
      <c r="A15" t="s">
        <v>36</v>
      </c>
      <c r="B15" s="1">
        <v>45819</v>
      </c>
      <c r="C15" t="s">
        <v>16</v>
      </c>
      <c r="D15" t="s">
        <v>17</v>
      </c>
      <c r="E15" t="s">
        <v>14</v>
      </c>
      <c r="F15">
        <v>1</v>
      </c>
      <c r="G15">
        <v>38.14</v>
      </c>
      <c r="H15">
        <v>4.66</v>
      </c>
    </row>
    <row r="16" spans="1:8" x14ac:dyDescent="0.3">
      <c r="A16" t="s">
        <v>37</v>
      </c>
      <c r="B16" s="1">
        <v>45766</v>
      </c>
      <c r="C16" t="s">
        <v>27</v>
      </c>
      <c r="D16" t="s">
        <v>17</v>
      </c>
      <c r="E16" t="s">
        <v>14</v>
      </c>
      <c r="F16">
        <v>6</v>
      </c>
      <c r="G16">
        <v>176.24</v>
      </c>
      <c r="H16">
        <v>46.34</v>
      </c>
    </row>
    <row r="17" spans="1:8" x14ac:dyDescent="0.3">
      <c r="A17" t="s">
        <v>38</v>
      </c>
      <c r="B17" s="1">
        <v>45793</v>
      </c>
      <c r="C17" t="s">
        <v>39</v>
      </c>
      <c r="D17" t="s">
        <v>10</v>
      </c>
      <c r="E17" t="s">
        <v>11</v>
      </c>
      <c r="F17">
        <v>3</v>
      </c>
      <c r="G17">
        <v>455.68</v>
      </c>
      <c r="H17">
        <v>87.62</v>
      </c>
    </row>
    <row r="18" spans="1:8" x14ac:dyDescent="0.3">
      <c r="A18" t="s">
        <v>40</v>
      </c>
      <c r="B18" s="1">
        <v>45956</v>
      </c>
      <c r="C18" t="s">
        <v>32</v>
      </c>
      <c r="D18" t="s">
        <v>17</v>
      </c>
      <c r="E18" t="s">
        <v>14</v>
      </c>
      <c r="F18">
        <v>7</v>
      </c>
      <c r="G18">
        <v>408.41</v>
      </c>
      <c r="H18">
        <v>114.14</v>
      </c>
    </row>
    <row r="19" spans="1:8" x14ac:dyDescent="0.3">
      <c r="A19" t="s">
        <v>41</v>
      </c>
      <c r="B19" s="1">
        <v>45704</v>
      </c>
      <c r="C19" t="s">
        <v>23</v>
      </c>
      <c r="D19" t="s">
        <v>17</v>
      </c>
      <c r="E19" t="s">
        <v>30</v>
      </c>
      <c r="F19">
        <v>8</v>
      </c>
      <c r="G19">
        <v>214.44</v>
      </c>
      <c r="H19">
        <v>23.71</v>
      </c>
    </row>
    <row r="20" spans="1:8" x14ac:dyDescent="0.3">
      <c r="A20" t="s">
        <v>42</v>
      </c>
      <c r="B20" s="1">
        <v>45963</v>
      </c>
      <c r="C20" t="s">
        <v>23</v>
      </c>
      <c r="D20" t="s">
        <v>17</v>
      </c>
      <c r="E20" t="s">
        <v>30</v>
      </c>
      <c r="F20">
        <v>7</v>
      </c>
      <c r="G20">
        <v>170.97</v>
      </c>
      <c r="H20">
        <v>34.049999999999997</v>
      </c>
    </row>
    <row r="21" spans="1:8" x14ac:dyDescent="0.3">
      <c r="A21" t="s">
        <v>43</v>
      </c>
      <c r="B21" s="1">
        <v>45941</v>
      </c>
      <c r="C21" t="s">
        <v>39</v>
      </c>
      <c r="D21" t="s">
        <v>10</v>
      </c>
      <c r="E21" t="s">
        <v>30</v>
      </c>
      <c r="F21">
        <v>5</v>
      </c>
      <c r="G21">
        <v>828.85</v>
      </c>
      <c r="H21">
        <v>85.3</v>
      </c>
    </row>
    <row r="22" spans="1:8" x14ac:dyDescent="0.3">
      <c r="A22" t="s">
        <v>44</v>
      </c>
      <c r="B22" s="1">
        <v>45986</v>
      </c>
      <c r="C22" t="s">
        <v>13</v>
      </c>
      <c r="D22" t="s">
        <v>10</v>
      </c>
      <c r="E22" t="s">
        <v>21</v>
      </c>
      <c r="F22">
        <v>5</v>
      </c>
      <c r="G22">
        <v>345.87</v>
      </c>
      <c r="H22">
        <v>57.74</v>
      </c>
    </row>
    <row r="23" spans="1:8" x14ac:dyDescent="0.3">
      <c r="A23" t="s">
        <v>45</v>
      </c>
      <c r="B23" s="1">
        <v>45792</v>
      </c>
      <c r="C23" t="s">
        <v>39</v>
      </c>
      <c r="D23" t="s">
        <v>10</v>
      </c>
      <c r="E23" t="s">
        <v>11</v>
      </c>
      <c r="F23">
        <v>1</v>
      </c>
      <c r="G23">
        <v>160.25</v>
      </c>
      <c r="H23">
        <v>16.23</v>
      </c>
    </row>
    <row r="24" spans="1:8" x14ac:dyDescent="0.3">
      <c r="A24" t="s">
        <v>46</v>
      </c>
      <c r="B24" s="1">
        <v>45736</v>
      </c>
      <c r="C24" t="s">
        <v>32</v>
      </c>
      <c r="D24" t="s">
        <v>17</v>
      </c>
      <c r="E24" t="s">
        <v>21</v>
      </c>
      <c r="F24">
        <v>4</v>
      </c>
      <c r="G24">
        <v>252.6</v>
      </c>
      <c r="H24">
        <v>47.46</v>
      </c>
    </row>
    <row r="25" spans="1:8" x14ac:dyDescent="0.3">
      <c r="A25" t="s">
        <v>47</v>
      </c>
      <c r="B25" s="1">
        <v>45964</v>
      </c>
      <c r="C25" t="s">
        <v>13</v>
      </c>
      <c r="D25" t="s">
        <v>10</v>
      </c>
      <c r="E25" t="s">
        <v>21</v>
      </c>
      <c r="F25">
        <v>1</v>
      </c>
      <c r="G25">
        <v>74.83</v>
      </c>
      <c r="H25">
        <v>7.66</v>
      </c>
    </row>
    <row r="26" spans="1:8" x14ac:dyDescent="0.3">
      <c r="A26" t="s">
        <v>48</v>
      </c>
      <c r="B26" s="1">
        <v>45780</v>
      </c>
      <c r="C26" t="s">
        <v>25</v>
      </c>
      <c r="D26" t="s">
        <v>20</v>
      </c>
      <c r="E26" t="s">
        <v>30</v>
      </c>
      <c r="F26">
        <v>5</v>
      </c>
      <c r="G26">
        <v>1042.99</v>
      </c>
      <c r="H26">
        <v>201.79</v>
      </c>
    </row>
    <row r="27" spans="1:8" x14ac:dyDescent="0.3">
      <c r="A27" t="s">
        <v>49</v>
      </c>
      <c r="B27" s="1">
        <v>45906</v>
      </c>
      <c r="C27" t="s">
        <v>9</v>
      </c>
      <c r="D27" t="s">
        <v>10</v>
      </c>
      <c r="E27" t="s">
        <v>30</v>
      </c>
      <c r="F27">
        <v>2</v>
      </c>
      <c r="G27">
        <v>394.41</v>
      </c>
      <c r="H27">
        <v>73.569999999999993</v>
      </c>
    </row>
    <row r="28" spans="1:8" x14ac:dyDescent="0.3">
      <c r="A28" t="s">
        <v>50</v>
      </c>
      <c r="B28" s="1">
        <v>45995</v>
      </c>
      <c r="C28" t="s">
        <v>23</v>
      </c>
      <c r="D28" t="s">
        <v>17</v>
      </c>
      <c r="E28" t="s">
        <v>14</v>
      </c>
      <c r="F28">
        <v>3</v>
      </c>
      <c r="G28">
        <v>81.7</v>
      </c>
      <c r="H28">
        <v>9.23</v>
      </c>
    </row>
    <row r="29" spans="1:8" x14ac:dyDescent="0.3">
      <c r="A29" t="s">
        <v>51</v>
      </c>
      <c r="B29" s="1">
        <v>45766</v>
      </c>
      <c r="C29" t="s">
        <v>13</v>
      </c>
      <c r="D29" t="s">
        <v>10</v>
      </c>
      <c r="E29" t="s">
        <v>11</v>
      </c>
      <c r="F29">
        <v>7</v>
      </c>
      <c r="G29">
        <v>547.36</v>
      </c>
      <c r="H29">
        <v>87.47</v>
      </c>
    </row>
    <row r="30" spans="1:8" x14ac:dyDescent="0.3">
      <c r="A30" t="s">
        <v>52</v>
      </c>
      <c r="B30" s="1">
        <v>45922</v>
      </c>
      <c r="C30" t="s">
        <v>25</v>
      </c>
      <c r="D30" t="s">
        <v>20</v>
      </c>
      <c r="E30" t="s">
        <v>14</v>
      </c>
      <c r="F30">
        <v>8</v>
      </c>
      <c r="G30">
        <v>1626.59</v>
      </c>
      <c r="H30">
        <v>203.23</v>
      </c>
    </row>
    <row r="31" spans="1:8" x14ac:dyDescent="0.3">
      <c r="A31" t="s">
        <v>53</v>
      </c>
      <c r="B31" s="1">
        <v>45959</v>
      </c>
      <c r="C31" t="s">
        <v>25</v>
      </c>
      <c r="D31" t="s">
        <v>20</v>
      </c>
      <c r="E31" t="s">
        <v>11</v>
      </c>
      <c r="F31">
        <v>1</v>
      </c>
      <c r="G31">
        <v>223.89</v>
      </c>
      <c r="H31">
        <v>18.23</v>
      </c>
    </row>
    <row r="32" spans="1:8" x14ac:dyDescent="0.3">
      <c r="A32" t="s">
        <v>54</v>
      </c>
      <c r="B32" s="1">
        <v>45692</v>
      </c>
      <c r="C32" t="s">
        <v>55</v>
      </c>
      <c r="D32" t="s">
        <v>10</v>
      </c>
      <c r="E32" t="s">
        <v>30</v>
      </c>
      <c r="F32">
        <v>4</v>
      </c>
      <c r="G32">
        <v>2787.01</v>
      </c>
      <c r="H32">
        <v>262.45999999999998</v>
      </c>
    </row>
    <row r="33" spans="1:8" x14ac:dyDescent="0.3">
      <c r="A33" t="s">
        <v>56</v>
      </c>
      <c r="B33" s="1">
        <v>46000</v>
      </c>
      <c r="C33" t="s">
        <v>16</v>
      </c>
      <c r="D33" t="s">
        <v>17</v>
      </c>
      <c r="E33" t="s">
        <v>14</v>
      </c>
      <c r="F33">
        <v>5</v>
      </c>
      <c r="G33">
        <v>188.57</v>
      </c>
      <c r="H33">
        <v>20.079999999999998</v>
      </c>
    </row>
    <row r="34" spans="1:8" x14ac:dyDescent="0.3">
      <c r="A34" t="s">
        <v>57</v>
      </c>
      <c r="B34" s="1">
        <v>45782</v>
      </c>
      <c r="C34" t="s">
        <v>27</v>
      </c>
      <c r="D34" t="s">
        <v>17</v>
      </c>
      <c r="E34" t="s">
        <v>14</v>
      </c>
      <c r="F34">
        <v>8</v>
      </c>
      <c r="G34">
        <v>254.76</v>
      </c>
      <c r="H34">
        <v>30.08</v>
      </c>
    </row>
    <row r="35" spans="1:8" x14ac:dyDescent="0.3">
      <c r="A35" t="s">
        <v>58</v>
      </c>
      <c r="B35" s="1">
        <v>45839</v>
      </c>
      <c r="C35" t="s">
        <v>9</v>
      </c>
      <c r="D35" t="s">
        <v>10</v>
      </c>
      <c r="E35" t="s">
        <v>14</v>
      </c>
      <c r="F35">
        <v>7</v>
      </c>
      <c r="G35">
        <v>1237.5999999999999</v>
      </c>
      <c r="H35">
        <v>312.82</v>
      </c>
    </row>
    <row r="36" spans="1:8" x14ac:dyDescent="0.3">
      <c r="A36" t="s">
        <v>59</v>
      </c>
      <c r="B36" s="1">
        <v>45689</v>
      </c>
      <c r="C36" t="s">
        <v>55</v>
      </c>
      <c r="D36" t="s">
        <v>10</v>
      </c>
      <c r="E36" t="s">
        <v>14</v>
      </c>
      <c r="F36">
        <v>2</v>
      </c>
      <c r="G36">
        <v>1359.34</v>
      </c>
      <c r="H36">
        <v>326.39999999999998</v>
      </c>
    </row>
    <row r="37" spans="1:8" x14ac:dyDescent="0.3">
      <c r="A37" t="s">
        <v>60</v>
      </c>
      <c r="B37" s="1">
        <v>45756</v>
      </c>
      <c r="C37" t="s">
        <v>9</v>
      </c>
      <c r="D37" t="s">
        <v>10</v>
      </c>
      <c r="E37" t="s">
        <v>11</v>
      </c>
      <c r="F37">
        <v>4</v>
      </c>
      <c r="G37">
        <v>725.23</v>
      </c>
      <c r="H37">
        <v>78.349999999999994</v>
      </c>
    </row>
    <row r="38" spans="1:8" x14ac:dyDescent="0.3">
      <c r="A38" t="s">
        <v>61</v>
      </c>
      <c r="B38" s="1">
        <v>45894</v>
      </c>
      <c r="C38" t="s">
        <v>23</v>
      </c>
      <c r="D38" t="s">
        <v>17</v>
      </c>
      <c r="E38" t="s">
        <v>11</v>
      </c>
      <c r="F38">
        <v>5</v>
      </c>
      <c r="G38">
        <v>134.36000000000001</v>
      </c>
      <c r="H38">
        <v>12.77</v>
      </c>
    </row>
    <row r="39" spans="1:8" x14ac:dyDescent="0.3">
      <c r="A39" t="s">
        <v>62</v>
      </c>
      <c r="B39" s="1">
        <v>45683</v>
      </c>
      <c r="C39" t="s">
        <v>13</v>
      </c>
      <c r="D39" t="s">
        <v>10</v>
      </c>
      <c r="E39" t="s">
        <v>30</v>
      </c>
      <c r="F39">
        <v>2</v>
      </c>
      <c r="G39">
        <v>164.07</v>
      </c>
      <c r="H39">
        <v>43.52</v>
      </c>
    </row>
    <row r="40" spans="1:8" x14ac:dyDescent="0.3">
      <c r="A40" t="s">
        <v>63</v>
      </c>
      <c r="B40" s="1">
        <v>45866</v>
      </c>
      <c r="C40" t="s">
        <v>16</v>
      </c>
      <c r="D40" t="s">
        <v>17</v>
      </c>
      <c r="E40" t="s">
        <v>14</v>
      </c>
      <c r="F40">
        <v>3</v>
      </c>
      <c r="G40">
        <v>119.55</v>
      </c>
      <c r="H40">
        <v>30.24</v>
      </c>
    </row>
    <row r="41" spans="1:8" x14ac:dyDescent="0.3">
      <c r="A41" t="s">
        <v>64</v>
      </c>
      <c r="B41" s="1">
        <v>45852</v>
      </c>
      <c r="C41" t="s">
        <v>55</v>
      </c>
      <c r="D41" t="s">
        <v>10</v>
      </c>
      <c r="E41" t="s">
        <v>30</v>
      </c>
      <c r="F41">
        <v>3</v>
      </c>
      <c r="G41">
        <v>2139.27</v>
      </c>
      <c r="H41">
        <v>284.61</v>
      </c>
    </row>
    <row r="42" spans="1:8" x14ac:dyDescent="0.3">
      <c r="A42" t="s">
        <v>65</v>
      </c>
      <c r="B42" s="1">
        <v>45874</v>
      </c>
      <c r="C42" t="s">
        <v>39</v>
      </c>
      <c r="D42" t="s">
        <v>10</v>
      </c>
      <c r="E42" t="s">
        <v>14</v>
      </c>
      <c r="F42">
        <v>5</v>
      </c>
      <c r="G42">
        <v>744.77</v>
      </c>
      <c r="H42">
        <v>103.78</v>
      </c>
    </row>
    <row r="43" spans="1:8" x14ac:dyDescent="0.3">
      <c r="A43" t="s">
        <v>66</v>
      </c>
      <c r="B43" s="1">
        <v>45818</v>
      </c>
      <c r="C43" t="s">
        <v>55</v>
      </c>
      <c r="D43" t="s">
        <v>10</v>
      </c>
      <c r="E43" t="s">
        <v>30</v>
      </c>
      <c r="F43">
        <v>1</v>
      </c>
      <c r="G43">
        <v>591.52</v>
      </c>
      <c r="H43">
        <v>103.73</v>
      </c>
    </row>
    <row r="44" spans="1:8" x14ac:dyDescent="0.3">
      <c r="A44" t="s">
        <v>67</v>
      </c>
      <c r="B44" s="1">
        <v>45687</v>
      </c>
      <c r="C44" t="s">
        <v>13</v>
      </c>
      <c r="D44" t="s">
        <v>10</v>
      </c>
      <c r="E44" t="s">
        <v>30</v>
      </c>
      <c r="F44">
        <v>3</v>
      </c>
      <c r="G44">
        <v>240.81</v>
      </c>
      <c r="H44">
        <v>22.56</v>
      </c>
    </row>
    <row r="45" spans="1:8" x14ac:dyDescent="0.3">
      <c r="A45" t="s">
        <v>68</v>
      </c>
      <c r="B45" s="1">
        <v>45864</v>
      </c>
      <c r="C45" t="s">
        <v>9</v>
      </c>
      <c r="D45" t="s">
        <v>10</v>
      </c>
      <c r="E45" t="s">
        <v>30</v>
      </c>
      <c r="F45">
        <v>4</v>
      </c>
      <c r="G45">
        <v>783.59</v>
      </c>
      <c r="H45">
        <v>151.97</v>
      </c>
    </row>
    <row r="46" spans="1:8" x14ac:dyDescent="0.3">
      <c r="A46" t="s">
        <v>69</v>
      </c>
      <c r="B46" s="1">
        <v>45975</v>
      </c>
      <c r="C46" t="s">
        <v>27</v>
      </c>
      <c r="D46" t="s">
        <v>17</v>
      </c>
      <c r="E46" t="s">
        <v>30</v>
      </c>
      <c r="F46">
        <v>1</v>
      </c>
      <c r="G46">
        <v>29.52</v>
      </c>
      <c r="H46">
        <v>5.81</v>
      </c>
    </row>
    <row r="47" spans="1:8" x14ac:dyDescent="0.3">
      <c r="A47" t="s">
        <v>70</v>
      </c>
      <c r="B47" s="1">
        <v>45791</v>
      </c>
      <c r="C47" t="s">
        <v>13</v>
      </c>
      <c r="D47" t="s">
        <v>10</v>
      </c>
      <c r="E47" t="s">
        <v>11</v>
      </c>
      <c r="F47">
        <v>6</v>
      </c>
      <c r="G47">
        <v>465.28</v>
      </c>
      <c r="H47">
        <v>66.459999999999994</v>
      </c>
    </row>
    <row r="48" spans="1:8" x14ac:dyDescent="0.3">
      <c r="A48" t="s">
        <v>71</v>
      </c>
      <c r="B48" s="1">
        <v>45725</v>
      </c>
      <c r="C48" t="s">
        <v>32</v>
      </c>
      <c r="D48" t="s">
        <v>17</v>
      </c>
      <c r="E48" t="s">
        <v>21</v>
      </c>
      <c r="F48">
        <v>7</v>
      </c>
      <c r="G48">
        <v>416.41</v>
      </c>
      <c r="H48">
        <v>110.68</v>
      </c>
    </row>
    <row r="49" spans="1:8" x14ac:dyDescent="0.3">
      <c r="A49" t="s">
        <v>72</v>
      </c>
      <c r="B49" s="1">
        <v>45892</v>
      </c>
      <c r="C49" t="s">
        <v>9</v>
      </c>
      <c r="D49" t="s">
        <v>10</v>
      </c>
      <c r="E49" t="s">
        <v>30</v>
      </c>
      <c r="F49">
        <v>1</v>
      </c>
      <c r="G49">
        <v>164.64</v>
      </c>
      <c r="H49">
        <v>20.190000000000001</v>
      </c>
    </row>
    <row r="50" spans="1:8" x14ac:dyDescent="0.3">
      <c r="A50" t="s">
        <v>73</v>
      </c>
      <c r="B50" s="1">
        <v>45836</v>
      </c>
      <c r="C50" t="s">
        <v>32</v>
      </c>
      <c r="D50" t="s">
        <v>17</v>
      </c>
      <c r="E50" t="s">
        <v>30</v>
      </c>
      <c r="F50">
        <v>3</v>
      </c>
      <c r="G50">
        <v>193.65</v>
      </c>
      <c r="H50">
        <v>29.8</v>
      </c>
    </row>
    <row r="51" spans="1:8" x14ac:dyDescent="0.3">
      <c r="A51" t="s">
        <v>74</v>
      </c>
      <c r="B51" s="1">
        <v>45936</v>
      </c>
      <c r="C51" t="s">
        <v>23</v>
      </c>
      <c r="D51" t="s">
        <v>17</v>
      </c>
      <c r="E51" t="s">
        <v>21</v>
      </c>
      <c r="F51">
        <v>8</v>
      </c>
      <c r="G51">
        <v>204.47</v>
      </c>
      <c r="H51">
        <v>56.73</v>
      </c>
    </row>
    <row r="52" spans="1:8" x14ac:dyDescent="0.3">
      <c r="A52" t="s">
        <v>75</v>
      </c>
      <c r="B52" s="1">
        <v>45999</v>
      </c>
      <c r="C52" t="s">
        <v>13</v>
      </c>
      <c r="D52" t="s">
        <v>10</v>
      </c>
      <c r="E52" t="s">
        <v>21</v>
      </c>
      <c r="F52">
        <v>1</v>
      </c>
      <c r="G52">
        <v>81.48</v>
      </c>
      <c r="H52">
        <v>8.2100000000000009</v>
      </c>
    </row>
    <row r="53" spans="1:8" x14ac:dyDescent="0.3">
      <c r="A53" t="s">
        <v>76</v>
      </c>
      <c r="B53" s="1">
        <v>45717</v>
      </c>
      <c r="C53" t="s">
        <v>23</v>
      </c>
      <c r="D53" t="s">
        <v>17</v>
      </c>
      <c r="E53" t="s">
        <v>30</v>
      </c>
      <c r="F53">
        <v>5</v>
      </c>
      <c r="G53">
        <v>131.06</v>
      </c>
      <c r="H53">
        <v>14.56</v>
      </c>
    </row>
    <row r="54" spans="1:8" x14ac:dyDescent="0.3">
      <c r="A54" t="s">
        <v>77</v>
      </c>
      <c r="B54" s="1">
        <v>45833</v>
      </c>
      <c r="C54" t="s">
        <v>32</v>
      </c>
      <c r="D54" t="s">
        <v>17</v>
      </c>
      <c r="E54" t="s">
        <v>11</v>
      </c>
      <c r="F54">
        <v>4</v>
      </c>
      <c r="G54">
        <v>249</v>
      </c>
      <c r="H54">
        <v>62.4</v>
      </c>
    </row>
    <row r="55" spans="1:8" x14ac:dyDescent="0.3">
      <c r="A55" t="s">
        <v>78</v>
      </c>
      <c r="B55" s="1">
        <v>45786</v>
      </c>
      <c r="C55" t="s">
        <v>13</v>
      </c>
      <c r="D55" t="s">
        <v>10</v>
      </c>
      <c r="E55" t="s">
        <v>30</v>
      </c>
      <c r="F55">
        <v>8</v>
      </c>
      <c r="G55">
        <v>551.08000000000004</v>
      </c>
      <c r="H55">
        <v>90.77</v>
      </c>
    </row>
    <row r="56" spans="1:8" x14ac:dyDescent="0.3">
      <c r="A56" t="s">
        <v>79</v>
      </c>
      <c r="B56" s="1">
        <v>45659</v>
      </c>
      <c r="C56" t="s">
        <v>32</v>
      </c>
      <c r="D56" t="s">
        <v>17</v>
      </c>
      <c r="E56" t="s">
        <v>21</v>
      </c>
      <c r="F56">
        <v>1</v>
      </c>
      <c r="G56">
        <v>63.25</v>
      </c>
      <c r="H56">
        <v>13.12</v>
      </c>
    </row>
    <row r="57" spans="1:8" x14ac:dyDescent="0.3">
      <c r="A57" t="s">
        <v>80</v>
      </c>
      <c r="B57" s="1">
        <v>45884</v>
      </c>
      <c r="C57" t="s">
        <v>32</v>
      </c>
      <c r="D57" t="s">
        <v>17</v>
      </c>
      <c r="E57" t="s">
        <v>14</v>
      </c>
      <c r="F57">
        <v>3</v>
      </c>
      <c r="G57">
        <v>182.19</v>
      </c>
      <c r="H57">
        <v>18.649999999999999</v>
      </c>
    </row>
    <row r="58" spans="1:8" x14ac:dyDescent="0.3">
      <c r="A58" t="s">
        <v>81</v>
      </c>
      <c r="B58" s="1">
        <v>45847</v>
      </c>
      <c r="C58" t="s">
        <v>23</v>
      </c>
      <c r="D58" t="s">
        <v>17</v>
      </c>
      <c r="E58" t="s">
        <v>11</v>
      </c>
      <c r="F58">
        <v>1</v>
      </c>
      <c r="G58">
        <v>24.65</v>
      </c>
      <c r="H58">
        <v>2.1800000000000002</v>
      </c>
    </row>
    <row r="59" spans="1:8" x14ac:dyDescent="0.3">
      <c r="A59" t="s">
        <v>82</v>
      </c>
      <c r="B59" s="1">
        <v>45841</v>
      </c>
      <c r="C59" t="s">
        <v>25</v>
      </c>
      <c r="D59" t="s">
        <v>20</v>
      </c>
      <c r="E59" t="s">
        <v>11</v>
      </c>
      <c r="F59">
        <v>1</v>
      </c>
      <c r="G59">
        <v>228.01</v>
      </c>
      <c r="H59">
        <v>48.65</v>
      </c>
    </row>
    <row r="60" spans="1:8" x14ac:dyDescent="0.3">
      <c r="A60" t="s">
        <v>83</v>
      </c>
      <c r="B60" s="1">
        <v>45975</v>
      </c>
      <c r="C60" t="s">
        <v>25</v>
      </c>
      <c r="D60" t="s">
        <v>20</v>
      </c>
      <c r="E60" t="s">
        <v>11</v>
      </c>
      <c r="F60">
        <v>7</v>
      </c>
      <c r="G60">
        <v>1671.14</v>
      </c>
      <c r="H60">
        <v>212.82</v>
      </c>
    </row>
    <row r="61" spans="1:8" x14ac:dyDescent="0.3">
      <c r="A61" t="s">
        <v>84</v>
      </c>
      <c r="B61" s="1">
        <v>45869</v>
      </c>
      <c r="C61" t="s">
        <v>23</v>
      </c>
      <c r="D61" t="s">
        <v>17</v>
      </c>
      <c r="E61" t="s">
        <v>30</v>
      </c>
      <c r="F61">
        <v>3</v>
      </c>
      <c r="G61">
        <v>70.19</v>
      </c>
      <c r="H61">
        <v>18.59</v>
      </c>
    </row>
    <row r="62" spans="1:8" x14ac:dyDescent="0.3">
      <c r="A62" t="s">
        <v>85</v>
      </c>
      <c r="B62" s="1">
        <v>45794</v>
      </c>
      <c r="C62" t="s">
        <v>19</v>
      </c>
      <c r="D62" t="s">
        <v>20</v>
      </c>
      <c r="E62" t="s">
        <v>11</v>
      </c>
      <c r="F62">
        <v>4</v>
      </c>
      <c r="G62">
        <v>1268.97</v>
      </c>
      <c r="H62">
        <v>128.94999999999999</v>
      </c>
    </row>
    <row r="63" spans="1:8" x14ac:dyDescent="0.3">
      <c r="A63" t="s">
        <v>86</v>
      </c>
      <c r="B63" s="1">
        <v>45771</v>
      </c>
      <c r="C63" t="s">
        <v>55</v>
      </c>
      <c r="D63" t="s">
        <v>10</v>
      </c>
      <c r="E63" t="s">
        <v>11</v>
      </c>
      <c r="F63">
        <v>8</v>
      </c>
      <c r="G63">
        <v>5529.25</v>
      </c>
      <c r="H63">
        <v>951.37</v>
      </c>
    </row>
    <row r="64" spans="1:8" x14ac:dyDescent="0.3">
      <c r="A64" t="s">
        <v>87</v>
      </c>
      <c r="B64" s="1">
        <v>45772</v>
      </c>
      <c r="C64" t="s">
        <v>32</v>
      </c>
      <c r="D64" t="s">
        <v>17</v>
      </c>
      <c r="E64" t="s">
        <v>30</v>
      </c>
      <c r="F64">
        <v>4</v>
      </c>
      <c r="G64">
        <v>247.68</v>
      </c>
      <c r="H64">
        <v>39.549999999999997</v>
      </c>
    </row>
    <row r="65" spans="1:8" x14ac:dyDescent="0.3">
      <c r="A65" t="s">
        <v>88</v>
      </c>
      <c r="B65" s="1">
        <v>45800</v>
      </c>
      <c r="C65" t="s">
        <v>32</v>
      </c>
      <c r="D65" t="s">
        <v>17</v>
      </c>
      <c r="E65" t="s">
        <v>21</v>
      </c>
      <c r="F65">
        <v>2</v>
      </c>
      <c r="G65">
        <v>123.4</v>
      </c>
      <c r="H65">
        <v>19.739999999999998</v>
      </c>
    </row>
    <row r="66" spans="1:8" x14ac:dyDescent="0.3">
      <c r="A66" t="s">
        <v>89</v>
      </c>
      <c r="B66" s="1">
        <v>45672</v>
      </c>
      <c r="C66" t="s">
        <v>13</v>
      </c>
      <c r="D66" t="s">
        <v>10</v>
      </c>
      <c r="E66" t="s">
        <v>30</v>
      </c>
      <c r="F66">
        <v>6</v>
      </c>
      <c r="G66">
        <v>483.93</v>
      </c>
      <c r="H66">
        <v>64</v>
      </c>
    </row>
    <row r="67" spans="1:8" x14ac:dyDescent="0.3">
      <c r="A67" t="s">
        <v>90</v>
      </c>
      <c r="B67" s="1">
        <v>45677</v>
      </c>
      <c r="C67" t="s">
        <v>27</v>
      </c>
      <c r="D67" t="s">
        <v>17</v>
      </c>
      <c r="E67" t="s">
        <v>30</v>
      </c>
      <c r="F67">
        <v>5</v>
      </c>
      <c r="G67">
        <v>152.9</v>
      </c>
      <c r="H67">
        <v>22.8</v>
      </c>
    </row>
    <row r="68" spans="1:8" x14ac:dyDescent="0.3">
      <c r="A68" t="s">
        <v>91</v>
      </c>
      <c r="B68" s="1">
        <v>45968</v>
      </c>
      <c r="C68" t="s">
        <v>25</v>
      </c>
      <c r="D68" t="s">
        <v>20</v>
      </c>
      <c r="E68" t="s">
        <v>30</v>
      </c>
      <c r="F68">
        <v>7</v>
      </c>
      <c r="G68">
        <v>1504.64</v>
      </c>
      <c r="H68">
        <v>293.88</v>
      </c>
    </row>
    <row r="69" spans="1:8" x14ac:dyDescent="0.3">
      <c r="A69" t="s">
        <v>92</v>
      </c>
      <c r="B69" s="1">
        <v>46020</v>
      </c>
      <c r="C69" t="s">
        <v>32</v>
      </c>
      <c r="D69" t="s">
        <v>17</v>
      </c>
      <c r="E69" t="s">
        <v>14</v>
      </c>
      <c r="F69">
        <v>1</v>
      </c>
      <c r="G69">
        <v>54.02</v>
      </c>
      <c r="H69">
        <v>14.32</v>
      </c>
    </row>
    <row r="70" spans="1:8" x14ac:dyDescent="0.3">
      <c r="A70" t="s">
        <v>93</v>
      </c>
      <c r="B70" s="1">
        <v>45844</v>
      </c>
      <c r="C70" t="s">
        <v>13</v>
      </c>
      <c r="D70" t="s">
        <v>10</v>
      </c>
      <c r="E70" t="s">
        <v>14</v>
      </c>
      <c r="F70">
        <v>4</v>
      </c>
      <c r="G70">
        <v>274.2</v>
      </c>
      <c r="H70">
        <v>58.36</v>
      </c>
    </row>
    <row r="71" spans="1:8" x14ac:dyDescent="0.3">
      <c r="A71" t="s">
        <v>94</v>
      </c>
      <c r="B71" s="1">
        <v>45997</v>
      </c>
      <c r="C71" t="s">
        <v>25</v>
      </c>
      <c r="D71" t="s">
        <v>20</v>
      </c>
      <c r="E71" t="s">
        <v>30</v>
      </c>
      <c r="F71">
        <v>6</v>
      </c>
      <c r="G71">
        <v>1378.02</v>
      </c>
      <c r="H71">
        <v>193.01</v>
      </c>
    </row>
    <row r="72" spans="1:8" x14ac:dyDescent="0.3">
      <c r="A72" t="s">
        <v>95</v>
      </c>
      <c r="B72" s="1">
        <v>45825</v>
      </c>
      <c r="C72" t="s">
        <v>32</v>
      </c>
      <c r="D72" t="s">
        <v>17</v>
      </c>
      <c r="E72" t="s">
        <v>14</v>
      </c>
      <c r="F72">
        <v>7</v>
      </c>
      <c r="G72">
        <v>436.57</v>
      </c>
      <c r="H72">
        <v>83.33</v>
      </c>
    </row>
    <row r="73" spans="1:8" x14ac:dyDescent="0.3">
      <c r="A73" t="s">
        <v>96</v>
      </c>
      <c r="B73" s="1">
        <v>45998</v>
      </c>
      <c r="C73" t="s">
        <v>16</v>
      </c>
      <c r="D73" t="s">
        <v>17</v>
      </c>
      <c r="E73" t="s">
        <v>14</v>
      </c>
      <c r="F73">
        <v>7</v>
      </c>
      <c r="G73">
        <v>289.93</v>
      </c>
      <c r="H73">
        <v>75.540000000000006</v>
      </c>
    </row>
    <row r="74" spans="1:8" x14ac:dyDescent="0.3">
      <c r="A74" t="s">
        <v>97</v>
      </c>
      <c r="B74" s="1">
        <v>45865</v>
      </c>
      <c r="C74" t="s">
        <v>27</v>
      </c>
      <c r="D74" t="s">
        <v>17</v>
      </c>
      <c r="E74" t="s">
        <v>30</v>
      </c>
      <c r="F74">
        <v>5</v>
      </c>
      <c r="G74">
        <v>144.12</v>
      </c>
      <c r="H74">
        <v>17.59</v>
      </c>
    </row>
    <row r="75" spans="1:8" x14ac:dyDescent="0.3">
      <c r="A75" t="s">
        <v>98</v>
      </c>
      <c r="B75" s="1">
        <v>45896</v>
      </c>
      <c r="C75" t="s">
        <v>27</v>
      </c>
      <c r="D75" t="s">
        <v>17</v>
      </c>
      <c r="E75" t="s">
        <v>14</v>
      </c>
      <c r="F75">
        <v>6</v>
      </c>
      <c r="G75">
        <v>177.92</v>
      </c>
      <c r="H75">
        <v>21.84</v>
      </c>
    </row>
    <row r="76" spans="1:8" x14ac:dyDescent="0.3">
      <c r="A76" t="s">
        <v>99</v>
      </c>
      <c r="B76" s="1">
        <v>45995</v>
      </c>
      <c r="C76" t="s">
        <v>39</v>
      </c>
      <c r="D76" t="s">
        <v>10</v>
      </c>
      <c r="E76" t="s">
        <v>30</v>
      </c>
      <c r="F76">
        <v>3</v>
      </c>
      <c r="G76">
        <v>459.24</v>
      </c>
      <c r="H76">
        <v>97.71</v>
      </c>
    </row>
    <row r="77" spans="1:8" x14ac:dyDescent="0.3">
      <c r="A77" t="s">
        <v>100</v>
      </c>
      <c r="B77" s="1">
        <v>45705</v>
      </c>
      <c r="C77" t="s">
        <v>27</v>
      </c>
      <c r="D77" t="s">
        <v>17</v>
      </c>
      <c r="E77" t="s">
        <v>11</v>
      </c>
      <c r="F77">
        <v>6</v>
      </c>
      <c r="G77">
        <v>186.22</v>
      </c>
      <c r="H77">
        <v>23.26</v>
      </c>
    </row>
    <row r="78" spans="1:8" x14ac:dyDescent="0.3">
      <c r="A78" t="s">
        <v>101</v>
      </c>
      <c r="B78" s="1">
        <v>45670</v>
      </c>
      <c r="C78" t="s">
        <v>16</v>
      </c>
      <c r="D78" t="s">
        <v>17</v>
      </c>
      <c r="E78" t="s">
        <v>30</v>
      </c>
      <c r="F78">
        <v>3</v>
      </c>
      <c r="G78">
        <v>113.88</v>
      </c>
      <c r="H78">
        <v>19.93</v>
      </c>
    </row>
    <row r="79" spans="1:8" x14ac:dyDescent="0.3">
      <c r="A79" t="s">
        <v>102</v>
      </c>
      <c r="B79" s="1">
        <v>45870</v>
      </c>
      <c r="C79" t="s">
        <v>9</v>
      </c>
      <c r="D79" t="s">
        <v>10</v>
      </c>
      <c r="E79" t="s">
        <v>11</v>
      </c>
      <c r="F79">
        <v>8</v>
      </c>
      <c r="G79">
        <v>1502.88</v>
      </c>
      <c r="H79">
        <v>235.65</v>
      </c>
    </row>
    <row r="80" spans="1:8" x14ac:dyDescent="0.3">
      <c r="A80" t="s">
        <v>103</v>
      </c>
      <c r="B80" s="1">
        <v>45733</v>
      </c>
      <c r="C80" t="s">
        <v>19</v>
      </c>
      <c r="D80" t="s">
        <v>20</v>
      </c>
      <c r="E80" t="s">
        <v>30</v>
      </c>
      <c r="F80">
        <v>4</v>
      </c>
      <c r="G80">
        <v>1294.24</v>
      </c>
      <c r="H80">
        <v>326.26</v>
      </c>
    </row>
    <row r="81" spans="1:8" x14ac:dyDescent="0.3">
      <c r="A81" t="s">
        <v>104</v>
      </c>
      <c r="B81" s="1">
        <v>45770</v>
      </c>
      <c r="C81" t="s">
        <v>9</v>
      </c>
      <c r="D81" t="s">
        <v>10</v>
      </c>
      <c r="E81" t="s">
        <v>11</v>
      </c>
      <c r="F81">
        <v>7</v>
      </c>
      <c r="G81">
        <v>1336.64</v>
      </c>
      <c r="H81">
        <v>292.97000000000003</v>
      </c>
    </row>
    <row r="82" spans="1:8" x14ac:dyDescent="0.3">
      <c r="A82" t="s">
        <v>105</v>
      </c>
      <c r="B82" s="1">
        <v>45943</v>
      </c>
      <c r="C82" t="s">
        <v>39</v>
      </c>
      <c r="D82" t="s">
        <v>10</v>
      </c>
      <c r="E82" t="s">
        <v>11</v>
      </c>
      <c r="F82">
        <v>1</v>
      </c>
      <c r="G82">
        <v>173.36</v>
      </c>
      <c r="H82">
        <v>18.079999999999998</v>
      </c>
    </row>
    <row r="83" spans="1:8" x14ac:dyDescent="0.3">
      <c r="A83" t="s">
        <v>106</v>
      </c>
      <c r="B83" s="1">
        <v>45999</v>
      </c>
      <c r="C83" t="s">
        <v>23</v>
      </c>
      <c r="D83" t="s">
        <v>17</v>
      </c>
      <c r="E83" t="s">
        <v>21</v>
      </c>
      <c r="F83">
        <v>8</v>
      </c>
      <c r="G83">
        <v>218</v>
      </c>
      <c r="H83">
        <v>56.31</v>
      </c>
    </row>
    <row r="84" spans="1:8" x14ac:dyDescent="0.3">
      <c r="A84" t="s">
        <v>107</v>
      </c>
      <c r="B84" s="1">
        <v>45938</v>
      </c>
      <c r="C84" t="s">
        <v>27</v>
      </c>
      <c r="D84" t="s">
        <v>17</v>
      </c>
      <c r="E84" t="s">
        <v>14</v>
      </c>
      <c r="F84">
        <v>7</v>
      </c>
      <c r="G84">
        <v>226.68</v>
      </c>
      <c r="H84">
        <v>51.85</v>
      </c>
    </row>
    <row r="85" spans="1:8" x14ac:dyDescent="0.3">
      <c r="A85" t="s">
        <v>108</v>
      </c>
      <c r="B85" s="1">
        <v>45790</v>
      </c>
      <c r="C85" t="s">
        <v>39</v>
      </c>
      <c r="D85" t="s">
        <v>10</v>
      </c>
      <c r="E85" t="s">
        <v>11</v>
      </c>
      <c r="F85">
        <v>8</v>
      </c>
      <c r="G85">
        <v>1367</v>
      </c>
      <c r="H85">
        <v>185.18</v>
      </c>
    </row>
    <row r="86" spans="1:8" x14ac:dyDescent="0.3">
      <c r="A86" t="s">
        <v>109</v>
      </c>
      <c r="B86" s="1">
        <v>45978</v>
      </c>
      <c r="C86" t="s">
        <v>13</v>
      </c>
      <c r="D86" t="s">
        <v>10</v>
      </c>
      <c r="E86" t="s">
        <v>11</v>
      </c>
      <c r="F86">
        <v>8</v>
      </c>
      <c r="G86">
        <v>572.95000000000005</v>
      </c>
      <c r="H86">
        <v>54.71</v>
      </c>
    </row>
    <row r="87" spans="1:8" x14ac:dyDescent="0.3">
      <c r="A87" t="s">
        <v>110</v>
      </c>
      <c r="B87" s="1">
        <v>45797</v>
      </c>
      <c r="C87" t="s">
        <v>32</v>
      </c>
      <c r="D87" t="s">
        <v>17</v>
      </c>
      <c r="E87" t="s">
        <v>21</v>
      </c>
      <c r="F87">
        <v>4</v>
      </c>
      <c r="G87">
        <v>231.35</v>
      </c>
      <c r="H87">
        <v>43.5</v>
      </c>
    </row>
    <row r="88" spans="1:8" x14ac:dyDescent="0.3">
      <c r="A88" t="s">
        <v>111</v>
      </c>
      <c r="B88" s="1">
        <v>45776</v>
      </c>
      <c r="C88" t="s">
        <v>23</v>
      </c>
      <c r="D88" t="s">
        <v>17</v>
      </c>
      <c r="E88" t="s">
        <v>14</v>
      </c>
      <c r="F88">
        <v>3</v>
      </c>
      <c r="G88">
        <v>77.91</v>
      </c>
      <c r="H88">
        <v>17.239999999999998</v>
      </c>
    </row>
    <row r="89" spans="1:8" x14ac:dyDescent="0.3">
      <c r="A89" t="s">
        <v>112</v>
      </c>
      <c r="B89" s="1">
        <v>45866</v>
      </c>
      <c r="C89" t="s">
        <v>9</v>
      </c>
      <c r="D89" t="s">
        <v>10</v>
      </c>
      <c r="E89" t="s">
        <v>21</v>
      </c>
      <c r="F89">
        <v>7</v>
      </c>
      <c r="G89">
        <v>1270.74</v>
      </c>
      <c r="H89">
        <v>207.33</v>
      </c>
    </row>
    <row r="90" spans="1:8" x14ac:dyDescent="0.3">
      <c r="A90" t="s">
        <v>113</v>
      </c>
      <c r="B90" s="1">
        <v>45857</v>
      </c>
      <c r="C90" t="s">
        <v>16</v>
      </c>
      <c r="D90" t="s">
        <v>17</v>
      </c>
      <c r="E90" t="s">
        <v>30</v>
      </c>
      <c r="F90">
        <v>7</v>
      </c>
      <c r="G90">
        <v>299.98</v>
      </c>
      <c r="H90">
        <v>69.930000000000007</v>
      </c>
    </row>
    <row r="91" spans="1:8" x14ac:dyDescent="0.3">
      <c r="A91" t="s">
        <v>114</v>
      </c>
      <c r="B91" s="1">
        <v>45661</v>
      </c>
      <c r="C91" t="s">
        <v>19</v>
      </c>
      <c r="D91" t="s">
        <v>20</v>
      </c>
      <c r="E91" t="s">
        <v>21</v>
      </c>
      <c r="F91">
        <v>8</v>
      </c>
      <c r="G91">
        <v>2303.33</v>
      </c>
      <c r="H91">
        <v>363.92</v>
      </c>
    </row>
    <row r="92" spans="1:8" x14ac:dyDescent="0.3">
      <c r="A92" t="s">
        <v>115</v>
      </c>
      <c r="B92" s="1">
        <v>45907</v>
      </c>
      <c r="C92" t="s">
        <v>19</v>
      </c>
      <c r="D92" t="s">
        <v>20</v>
      </c>
      <c r="E92" t="s">
        <v>11</v>
      </c>
      <c r="F92">
        <v>4</v>
      </c>
      <c r="G92">
        <v>1145.5</v>
      </c>
      <c r="H92">
        <v>202.9</v>
      </c>
    </row>
    <row r="93" spans="1:8" x14ac:dyDescent="0.3">
      <c r="A93" t="s">
        <v>116</v>
      </c>
      <c r="B93" s="1">
        <v>46000</v>
      </c>
      <c r="C93" t="s">
        <v>19</v>
      </c>
      <c r="D93" t="s">
        <v>20</v>
      </c>
      <c r="E93" t="s">
        <v>14</v>
      </c>
      <c r="F93">
        <v>6</v>
      </c>
      <c r="G93">
        <v>1880.71</v>
      </c>
      <c r="H93">
        <v>466.61</v>
      </c>
    </row>
    <row r="94" spans="1:8" x14ac:dyDescent="0.3">
      <c r="A94" t="s">
        <v>117</v>
      </c>
      <c r="B94" s="1">
        <v>45859</v>
      </c>
      <c r="C94" t="s">
        <v>23</v>
      </c>
      <c r="D94" t="s">
        <v>17</v>
      </c>
      <c r="E94" t="s">
        <v>30</v>
      </c>
      <c r="F94">
        <v>1</v>
      </c>
      <c r="G94">
        <v>22.92</v>
      </c>
      <c r="H94">
        <v>3.8</v>
      </c>
    </row>
    <row r="95" spans="1:8" x14ac:dyDescent="0.3">
      <c r="A95" t="s">
        <v>118</v>
      </c>
      <c r="B95" s="1">
        <v>45683</v>
      </c>
      <c r="C95" t="s">
        <v>39</v>
      </c>
      <c r="D95" t="s">
        <v>10</v>
      </c>
      <c r="E95" t="s">
        <v>21</v>
      </c>
      <c r="F95">
        <v>3</v>
      </c>
      <c r="G95">
        <v>468.39</v>
      </c>
      <c r="H95">
        <v>57.3</v>
      </c>
    </row>
    <row r="96" spans="1:8" x14ac:dyDescent="0.3">
      <c r="A96" t="s">
        <v>119</v>
      </c>
      <c r="B96" s="1">
        <v>45852</v>
      </c>
      <c r="C96" t="s">
        <v>25</v>
      </c>
      <c r="D96" t="s">
        <v>20</v>
      </c>
      <c r="E96" t="s">
        <v>21</v>
      </c>
      <c r="F96">
        <v>6</v>
      </c>
      <c r="G96">
        <v>1386.53</v>
      </c>
      <c r="H96">
        <v>341.62</v>
      </c>
    </row>
    <row r="97" spans="1:8" x14ac:dyDescent="0.3">
      <c r="A97" t="s">
        <v>120</v>
      </c>
      <c r="B97" s="1">
        <v>45898</v>
      </c>
      <c r="C97" t="s">
        <v>32</v>
      </c>
      <c r="D97" t="s">
        <v>17</v>
      </c>
      <c r="E97" t="s">
        <v>30</v>
      </c>
      <c r="F97">
        <v>2</v>
      </c>
      <c r="G97">
        <v>125.98</v>
      </c>
      <c r="H97">
        <v>11.39</v>
      </c>
    </row>
    <row r="98" spans="1:8" x14ac:dyDescent="0.3">
      <c r="A98" t="s">
        <v>121</v>
      </c>
      <c r="B98" s="1">
        <v>45990</v>
      </c>
      <c r="C98" t="s">
        <v>25</v>
      </c>
      <c r="D98" t="s">
        <v>20</v>
      </c>
      <c r="E98" t="s">
        <v>30</v>
      </c>
      <c r="F98">
        <v>4</v>
      </c>
      <c r="G98">
        <v>929.5</v>
      </c>
      <c r="H98">
        <v>195.52</v>
      </c>
    </row>
    <row r="99" spans="1:8" x14ac:dyDescent="0.3">
      <c r="A99" t="s">
        <v>122</v>
      </c>
      <c r="B99" s="1">
        <v>45760</v>
      </c>
      <c r="C99" t="s">
        <v>55</v>
      </c>
      <c r="D99" t="s">
        <v>10</v>
      </c>
      <c r="E99" t="s">
        <v>30</v>
      </c>
      <c r="F99">
        <v>4</v>
      </c>
      <c r="G99">
        <v>2663.09</v>
      </c>
      <c r="H99">
        <v>340.1</v>
      </c>
    </row>
    <row r="100" spans="1:8" x14ac:dyDescent="0.3">
      <c r="A100" t="s">
        <v>123</v>
      </c>
      <c r="B100" s="1">
        <v>45946</v>
      </c>
      <c r="C100" t="s">
        <v>39</v>
      </c>
      <c r="D100" t="s">
        <v>10</v>
      </c>
      <c r="E100" t="s">
        <v>11</v>
      </c>
      <c r="F100">
        <v>2</v>
      </c>
      <c r="G100">
        <v>317.76</v>
      </c>
      <c r="H100">
        <v>41.71</v>
      </c>
    </row>
    <row r="101" spans="1:8" x14ac:dyDescent="0.3">
      <c r="A101" t="s">
        <v>124</v>
      </c>
      <c r="B101" s="1">
        <v>45968</v>
      </c>
      <c r="C101" t="s">
        <v>25</v>
      </c>
      <c r="D101" t="s">
        <v>20</v>
      </c>
      <c r="E101" t="s">
        <v>30</v>
      </c>
      <c r="F101">
        <v>3</v>
      </c>
      <c r="G101">
        <v>696.67</v>
      </c>
      <c r="H101">
        <v>78.55</v>
      </c>
    </row>
    <row r="102" spans="1:8" x14ac:dyDescent="0.3">
      <c r="A102" t="s">
        <v>125</v>
      </c>
      <c r="B102" s="1">
        <v>45954</v>
      </c>
      <c r="C102" t="s">
        <v>32</v>
      </c>
      <c r="D102" t="s">
        <v>17</v>
      </c>
      <c r="E102" t="s">
        <v>30</v>
      </c>
      <c r="F102">
        <v>2</v>
      </c>
      <c r="G102">
        <v>130.29</v>
      </c>
      <c r="H102">
        <v>25.43</v>
      </c>
    </row>
    <row r="103" spans="1:8" x14ac:dyDescent="0.3">
      <c r="A103" t="s">
        <v>126</v>
      </c>
      <c r="B103" s="1">
        <v>45759</v>
      </c>
      <c r="C103" t="s">
        <v>19</v>
      </c>
      <c r="D103" t="s">
        <v>20</v>
      </c>
      <c r="E103" t="s">
        <v>30</v>
      </c>
      <c r="F103">
        <v>7</v>
      </c>
      <c r="G103">
        <v>2138.6799999999998</v>
      </c>
      <c r="H103">
        <v>526.36</v>
      </c>
    </row>
    <row r="104" spans="1:8" x14ac:dyDescent="0.3">
      <c r="A104" t="s">
        <v>127</v>
      </c>
      <c r="B104" s="1">
        <v>46014</v>
      </c>
      <c r="C104" t="s">
        <v>16</v>
      </c>
      <c r="D104" t="s">
        <v>17</v>
      </c>
      <c r="E104" t="s">
        <v>21</v>
      </c>
      <c r="F104">
        <v>2</v>
      </c>
      <c r="G104">
        <v>85.6</v>
      </c>
      <c r="H104">
        <v>17.13</v>
      </c>
    </row>
    <row r="105" spans="1:8" x14ac:dyDescent="0.3">
      <c r="A105" t="s">
        <v>128</v>
      </c>
      <c r="B105" s="1">
        <v>45835</v>
      </c>
      <c r="C105" t="s">
        <v>9</v>
      </c>
      <c r="D105" t="s">
        <v>10</v>
      </c>
      <c r="E105" t="s">
        <v>14</v>
      </c>
      <c r="F105">
        <v>1</v>
      </c>
      <c r="G105">
        <v>185.81</v>
      </c>
      <c r="H105">
        <v>17.43</v>
      </c>
    </row>
    <row r="106" spans="1:8" x14ac:dyDescent="0.3">
      <c r="A106" t="s">
        <v>129</v>
      </c>
      <c r="B106" s="1">
        <v>45873</v>
      </c>
      <c r="C106" t="s">
        <v>25</v>
      </c>
      <c r="D106" t="s">
        <v>20</v>
      </c>
      <c r="E106" t="s">
        <v>14</v>
      </c>
      <c r="F106">
        <v>1</v>
      </c>
      <c r="G106">
        <v>202.64</v>
      </c>
      <c r="H106">
        <v>55.15</v>
      </c>
    </row>
    <row r="107" spans="1:8" x14ac:dyDescent="0.3">
      <c r="A107" t="s">
        <v>130</v>
      </c>
      <c r="B107" s="1">
        <v>45880</v>
      </c>
      <c r="C107" t="s">
        <v>39</v>
      </c>
      <c r="D107" t="s">
        <v>10</v>
      </c>
      <c r="E107" t="s">
        <v>11</v>
      </c>
      <c r="F107">
        <v>3</v>
      </c>
      <c r="G107">
        <v>502.44</v>
      </c>
      <c r="H107">
        <v>137.21</v>
      </c>
    </row>
    <row r="108" spans="1:8" x14ac:dyDescent="0.3">
      <c r="A108" t="s">
        <v>131</v>
      </c>
      <c r="B108" s="1">
        <v>45896</v>
      </c>
      <c r="C108" t="s">
        <v>32</v>
      </c>
      <c r="D108" t="s">
        <v>17</v>
      </c>
      <c r="E108" t="s">
        <v>14</v>
      </c>
      <c r="F108">
        <v>8</v>
      </c>
      <c r="G108">
        <v>511.27</v>
      </c>
      <c r="H108">
        <v>101.48</v>
      </c>
    </row>
    <row r="109" spans="1:8" x14ac:dyDescent="0.3">
      <c r="A109" t="s">
        <v>132</v>
      </c>
      <c r="B109" s="1">
        <v>45702</v>
      </c>
      <c r="C109" t="s">
        <v>25</v>
      </c>
      <c r="D109" t="s">
        <v>20</v>
      </c>
      <c r="E109" t="s">
        <v>21</v>
      </c>
      <c r="F109">
        <v>4</v>
      </c>
      <c r="G109">
        <v>947.17</v>
      </c>
      <c r="H109">
        <v>121.97</v>
      </c>
    </row>
    <row r="110" spans="1:8" x14ac:dyDescent="0.3">
      <c r="A110" t="s">
        <v>133</v>
      </c>
      <c r="B110" s="1">
        <v>45830</v>
      </c>
      <c r="C110" t="s">
        <v>39</v>
      </c>
      <c r="D110" t="s">
        <v>10</v>
      </c>
      <c r="E110" t="s">
        <v>30</v>
      </c>
      <c r="F110">
        <v>7</v>
      </c>
      <c r="G110">
        <v>1118.72</v>
      </c>
      <c r="H110">
        <v>162.22</v>
      </c>
    </row>
    <row r="111" spans="1:8" x14ac:dyDescent="0.3">
      <c r="A111" t="s">
        <v>134</v>
      </c>
      <c r="B111" s="1">
        <v>45839</v>
      </c>
      <c r="C111" t="s">
        <v>39</v>
      </c>
      <c r="D111" t="s">
        <v>10</v>
      </c>
      <c r="E111" t="s">
        <v>21</v>
      </c>
      <c r="F111">
        <v>4</v>
      </c>
      <c r="G111">
        <v>619.55999999999995</v>
      </c>
      <c r="H111">
        <v>158.65</v>
      </c>
    </row>
    <row r="112" spans="1:8" x14ac:dyDescent="0.3">
      <c r="A112" t="s">
        <v>135</v>
      </c>
      <c r="B112" s="1">
        <v>45922</v>
      </c>
      <c r="C112" t="s">
        <v>32</v>
      </c>
      <c r="D112" t="s">
        <v>17</v>
      </c>
      <c r="E112" t="s">
        <v>11</v>
      </c>
      <c r="F112">
        <v>1</v>
      </c>
      <c r="G112">
        <v>55.03</v>
      </c>
      <c r="H112">
        <v>12.33</v>
      </c>
    </row>
    <row r="113" spans="1:8" x14ac:dyDescent="0.3">
      <c r="A113" t="s">
        <v>136</v>
      </c>
      <c r="B113" s="1">
        <v>46011</v>
      </c>
      <c r="C113" t="s">
        <v>39</v>
      </c>
      <c r="D113" t="s">
        <v>10</v>
      </c>
      <c r="E113" t="s">
        <v>14</v>
      </c>
      <c r="F113">
        <v>4</v>
      </c>
      <c r="G113">
        <v>658.68</v>
      </c>
      <c r="H113">
        <v>117.35</v>
      </c>
    </row>
    <row r="114" spans="1:8" x14ac:dyDescent="0.3">
      <c r="A114" t="s">
        <v>137</v>
      </c>
      <c r="B114" s="1">
        <v>45808</v>
      </c>
      <c r="C114" t="s">
        <v>55</v>
      </c>
      <c r="D114" t="s">
        <v>10</v>
      </c>
      <c r="E114" t="s">
        <v>11</v>
      </c>
      <c r="F114">
        <v>2</v>
      </c>
      <c r="G114">
        <v>1275.1400000000001</v>
      </c>
      <c r="H114">
        <v>164.06</v>
      </c>
    </row>
    <row r="115" spans="1:8" x14ac:dyDescent="0.3">
      <c r="A115" t="s">
        <v>138</v>
      </c>
      <c r="B115" s="1">
        <v>45900</v>
      </c>
      <c r="C115" t="s">
        <v>27</v>
      </c>
      <c r="D115" t="s">
        <v>17</v>
      </c>
      <c r="E115" t="s">
        <v>21</v>
      </c>
      <c r="F115">
        <v>6</v>
      </c>
      <c r="G115">
        <v>177.32</v>
      </c>
      <c r="H115">
        <v>40.64</v>
      </c>
    </row>
    <row r="116" spans="1:8" x14ac:dyDescent="0.3">
      <c r="A116" t="s">
        <v>139</v>
      </c>
      <c r="B116" s="1">
        <v>46017</v>
      </c>
      <c r="C116" t="s">
        <v>25</v>
      </c>
      <c r="D116" t="s">
        <v>20</v>
      </c>
      <c r="E116" t="s">
        <v>14</v>
      </c>
      <c r="F116">
        <v>6</v>
      </c>
      <c r="G116">
        <v>1259.52</v>
      </c>
      <c r="H116">
        <v>164.09</v>
      </c>
    </row>
    <row r="117" spans="1:8" x14ac:dyDescent="0.3">
      <c r="A117" t="s">
        <v>140</v>
      </c>
      <c r="B117" s="1">
        <v>45819</v>
      </c>
      <c r="C117" t="s">
        <v>9</v>
      </c>
      <c r="D117" t="s">
        <v>10</v>
      </c>
      <c r="E117" t="s">
        <v>30</v>
      </c>
      <c r="F117">
        <v>4</v>
      </c>
      <c r="G117">
        <v>754.97</v>
      </c>
      <c r="H117">
        <v>203.97</v>
      </c>
    </row>
    <row r="118" spans="1:8" x14ac:dyDescent="0.3">
      <c r="A118" t="s">
        <v>141</v>
      </c>
      <c r="B118" s="1">
        <v>45768</v>
      </c>
      <c r="C118" t="s">
        <v>23</v>
      </c>
      <c r="D118" t="s">
        <v>17</v>
      </c>
      <c r="E118" t="s">
        <v>14</v>
      </c>
      <c r="F118">
        <v>4</v>
      </c>
      <c r="G118">
        <v>95.53</v>
      </c>
      <c r="H118">
        <v>18.91</v>
      </c>
    </row>
    <row r="119" spans="1:8" x14ac:dyDescent="0.3">
      <c r="A119" t="s">
        <v>142</v>
      </c>
      <c r="B119" s="1">
        <v>45709</v>
      </c>
      <c r="C119" t="s">
        <v>13</v>
      </c>
      <c r="D119" t="s">
        <v>10</v>
      </c>
      <c r="E119" t="s">
        <v>11</v>
      </c>
      <c r="F119">
        <v>5</v>
      </c>
      <c r="G119">
        <v>359.72</v>
      </c>
      <c r="H119">
        <v>54.74</v>
      </c>
    </row>
    <row r="120" spans="1:8" x14ac:dyDescent="0.3">
      <c r="A120" t="s">
        <v>143</v>
      </c>
      <c r="B120" s="1">
        <v>46020</v>
      </c>
      <c r="C120" t="s">
        <v>32</v>
      </c>
      <c r="D120" t="s">
        <v>17</v>
      </c>
      <c r="E120" t="s">
        <v>11</v>
      </c>
      <c r="F120">
        <v>1</v>
      </c>
      <c r="G120">
        <v>57.29</v>
      </c>
      <c r="H120">
        <v>15.75</v>
      </c>
    </row>
    <row r="121" spans="1:8" x14ac:dyDescent="0.3">
      <c r="A121" t="s">
        <v>144</v>
      </c>
      <c r="B121" s="1">
        <v>46015</v>
      </c>
      <c r="C121" t="s">
        <v>13</v>
      </c>
      <c r="D121" t="s">
        <v>10</v>
      </c>
      <c r="E121" t="s">
        <v>11</v>
      </c>
      <c r="F121">
        <v>5</v>
      </c>
      <c r="G121">
        <v>385.34</v>
      </c>
      <c r="H121">
        <v>88.84</v>
      </c>
    </row>
    <row r="122" spans="1:8" x14ac:dyDescent="0.3">
      <c r="A122" t="s">
        <v>145</v>
      </c>
      <c r="B122" s="1">
        <v>45951</v>
      </c>
      <c r="C122" t="s">
        <v>9</v>
      </c>
      <c r="D122" t="s">
        <v>10</v>
      </c>
      <c r="E122" t="s">
        <v>21</v>
      </c>
      <c r="F122">
        <v>1</v>
      </c>
      <c r="G122">
        <v>178.9</v>
      </c>
      <c r="H122">
        <v>30.07</v>
      </c>
    </row>
    <row r="123" spans="1:8" x14ac:dyDescent="0.3">
      <c r="A123" t="s">
        <v>146</v>
      </c>
      <c r="B123" s="1">
        <v>45787</v>
      </c>
      <c r="C123" t="s">
        <v>23</v>
      </c>
      <c r="D123" t="s">
        <v>17</v>
      </c>
      <c r="E123" t="s">
        <v>14</v>
      </c>
      <c r="F123">
        <v>1</v>
      </c>
      <c r="G123">
        <v>23.07</v>
      </c>
      <c r="H123">
        <v>2.15</v>
      </c>
    </row>
    <row r="124" spans="1:8" x14ac:dyDescent="0.3">
      <c r="A124" t="s">
        <v>147</v>
      </c>
      <c r="B124" s="1">
        <v>45953</v>
      </c>
      <c r="C124" t="s">
        <v>39</v>
      </c>
      <c r="D124" t="s">
        <v>10</v>
      </c>
      <c r="E124" t="s">
        <v>30</v>
      </c>
      <c r="F124">
        <v>2</v>
      </c>
      <c r="G124">
        <v>297.70999999999998</v>
      </c>
      <c r="H124">
        <v>72.11</v>
      </c>
    </row>
    <row r="125" spans="1:8" x14ac:dyDescent="0.3">
      <c r="A125" t="s">
        <v>148</v>
      </c>
      <c r="B125" s="1">
        <v>45785</v>
      </c>
      <c r="C125" t="s">
        <v>32</v>
      </c>
      <c r="D125" t="s">
        <v>17</v>
      </c>
      <c r="E125" t="s">
        <v>30</v>
      </c>
      <c r="F125">
        <v>2</v>
      </c>
      <c r="G125">
        <v>121.39</v>
      </c>
      <c r="H125">
        <v>19.82</v>
      </c>
    </row>
    <row r="126" spans="1:8" x14ac:dyDescent="0.3">
      <c r="A126" t="s">
        <v>149</v>
      </c>
      <c r="B126" s="1">
        <v>45925</v>
      </c>
      <c r="C126" t="s">
        <v>27</v>
      </c>
      <c r="D126" t="s">
        <v>17</v>
      </c>
      <c r="E126" t="s">
        <v>14</v>
      </c>
      <c r="F126">
        <v>4</v>
      </c>
      <c r="G126">
        <v>118.81</v>
      </c>
      <c r="H126">
        <v>20.02</v>
      </c>
    </row>
    <row r="127" spans="1:8" x14ac:dyDescent="0.3">
      <c r="A127" t="s">
        <v>150</v>
      </c>
      <c r="B127" s="1">
        <v>45814</v>
      </c>
      <c r="C127" t="s">
        <v>27</v>
      </c>
      <c r="D127" t="s">
        <v>17</v>
      </c>
      <c r="E127" t="s">
        <v>30</v>
      </c>
      <c r="F127">
        <v>7</v>
      </c>
      <c r="G127">
        <v>214.6</v>
      </c>
      <c r="H127">
        <v>48.93</v>
      </c>
    </row>
    <row r="128" spans="1:8" x14ac:dyDescent="0.3">
      <c r="A128" t="s">
        <v>151</v>
      </c>
      <c r="B128" s="1">
        <v>45793</v>
      </c>
      <c r="C128" t="s">
        <v>16</v>
      </c>
      <c r="D128" t="s">
        <v>17</v>
      </c>
      <c r="E128" t="s">
        <v>30</v>
      </c>
      <c r="F128">
        <v>4</v>
      </c>
      <c r="G128">
        <v>149.03</v>
      </c>
      <c r="H128">
        <v>17.100000000000001</v>
      </c>
    </row>
    <row r="129" spans="1:8" x14ac:dyDescent="0.3">
      <c r="A129" t="s">
        <v>152</v>
      </c>
      <c r="B129" s="1">
        <v>45659</v>
      </c>
      <c r="C129" t="s">
        <v>9</v>
      </c>
      <c r="D129" t="s">
        <v>10</v>
      </c>
      <c r="E129" t="s">
        <v>14</v>
      </c>
      <c r="F129">
        <v>3</v>
      </c>
      <c r="G129">
        <v>534.65</v>
      </c>
      <c r="H129">
        <v>106.27</v>
      </c>
    </row>
    <row r="130" spans="1:8" x14ac:dyDescent="0.3">
      <c r="A130" t="s">
        <v>153</v>
      </c>
      <c r="B130" s="1">
        <v>45776</v>
      </c>
      <c r="C130" t="s">
        <v>32</v>
      </c>
      <c r="D130" t="s">
        <v>17</v>
      </c>
      <c r="E130" t="s">
        <v>21</v>
      </c>
      <c r="F130">
        <v>1</v>
      </c>
      <c r="G130">
        <v>62.48</v>
      </c>
      <c r="H130">
        <v>13.78</v>
      </c>
    </row>
    <row r="131" spans="1:8" x14ac:dyDescent="0.3">
      <c r="A131" t="s">
        <v>154</v>
      </c>
      <c r="B131" s="1">
        <v>46009</v>
      </c>
      <c r="C131" t="s">
        <v>39</v>
      </c>
      <c r="D131" t="s">
        <v>10</v>
      </c>
      <c r="E131" t="s">
        <v>11</v>
      </c>
      <c r="F131">
        <v>2</v>
      </c>
      <c r="G131">
        <v>347.13</v>
      </c>
      <c r="H131">
        <v>82.47</v>
      </c>
    </row>
    <row r="132" spans="1:8" x14ac:dyDescent="0.3">
      <c r="A132" t="s">
        <v>155</v>
      </c>
      <c r="B132" s="1">
        <v>45875</v>
      </c>
      <c r="C132" t="s">
        <v>27</v>
      </c>
      <c r="D132" t="s">
        <v>17</v>
      </c>
      <c r="E132" t="s">
        <v>30</v>
      </c>
      <c r="F132">
        <v>4</v>
      </c>
      <c r="G132">
        <v>121.07</v>
      </c>
      <c r="H132">
        <v>25.37</v>
      </c>
    </row>
    <row r="133" spans="1:8" x14ac:dyDescent="0.3">
      <c r="A133" t="s">
        <v>156</v>
      </c>
      <c r="B133" s="1">
        <v>45694</v>
      </c>
      <c r="C133" t="s">
        <v>32</v>
      </c>
      <c r="D133" t="s">
        <v>17</v>
      </c>
      <c r="E133" t="s">
        <v>30</v>
      </c>
      <c r="F133">
        <v>3</v>
      </c>
      <c r="G133">
        <v>167.97</v>
      </c>
      <c r="H133">
        <v>23.77</v>
      </c>
    </row>
    <row r="134" spans="1:8" x14ac:dyDescent="0.3">
      <c r="A134" t="s">
        <v>157</v>
      </c>
      <c r="B134" s="1">
        <v>45882</v>
      </c>
      <c r="C134" t="s">
        <v>27</v>
      </c>
      <c r="D134" t="s">
        <v>17</v>
      </c>
      <c r="E134" t="s">
        <v>30</v>
      </c>
      <c r="F134">
        <v>5</v>
      </c>
      <c r="G134">
        <v>149.06</v>
      </c>
      <c r="H134">
        <v>20.99</v>
      </c>
    </row>
    <row r="135" spans="1:8" x14ac:dyDescent="0.3">
      <c r="A135" t="s">
        <v>158</v>
      </c>
      <c r="B135" s="1">
        <v>45914</v>
      </c>
      <c r="C135" t="s">
        <v>19</v>
      </c>
      <c r="D135" t="s">
        <v>20</v>
      </c>
      <c r="E135" t="s">
        <v>14</v>
      </c>
      <c r="F135">
        <v>5</v>
      </c>
      <c r="G135">
        <v>1481.33</v>
      </c>
      <c r="H135">
        <v>295.68</v>
      </c>
    </row>
    <row r="136" spans="1:8" x14ac:dyDescent="0.3">
      <c r="A136" t="s">
        <v>159</v>
      </c>
      <c r="B136" s="1">
        <v>45967</v>
      </c>
      <c r="C136" t="s">
        <v>19</v>
      </c>
      <c r="D136" t="s">
        <v>20</v>
      </c>
      <c r="E136" t="s">
        <v>21</v>
      </c>
      <c r="F136">
        <v>6</v>
      </c>
      <c r="G136">
        <v>1629.31</v>
      </c>
      <c r="H136">
        <v>204.94</v>
      </c>
    </row>
    <row r="137" spans="1:8" x14ac:dyDescent="0.3">
      <c r="A137" t="s">
        <v>160</v>
      </c>
      <c r="B137" s="1">
        <v>46002</v>
      </c>
      <c r="C137" t="s">
        <v>27</v>
      </c>
      <c r="D137" t="s">
        <v>17</v>
      </c>
      <c r="E137" t="s">
        <v>21</v>
      </c>
      <c r="F137">
        <v>1</v>
      </c>
      <c r="G137">
        <v>30.46</v>
      </c>
      <c r="H137">
        <v>7.09</v>
      </c>
    </row>
    <row r="138" spans="1:8" x14ac:dyDescent="0.3">
      <c r="A138" t="s">
        <v>161</v>
      </c>
      <c r="B138" s="1">
        <v>45923</v>
      </c>
      <c r="C138" t="s">
        <v>23</v>
      </c>
      <c r="D138" t="s">
        <v>17</v>
      </c>
      <c r="E138" t="s">
        <v>14</v>
      </c>
      <c r="F138">
        <v>8</v>
      </c>
      <c r="G138">
        <v>216.64</v>
      </c>
      <c r="H138">
        <v>25.19</v>
      </c>
    </row>
    <row r="139" spans="1:8" x14ac:dyDescent="0.3">
      <c r="A139" t="s">
        <v>162</v>
      </c>
      <c r="B139" s="1">
        <v>45983</v>
      </c>
      <c r="C139" t="s">
        <v>27</v>
      </c>
      <c r="D139" t="s">
        <v>17</v>
      </c>
      <c r="E139" t="s">
        <v>14</v>
      </c>
      <c r="F139">
        <v>7</v>
      </c>
      <c r="G139">
        <v>229.7</v>
      </c>
      <c r="H139">
        <v>39.97</v>
      </c>
    </row>
    <row r="140" spans="1:8" x14ac:dyDescent="0.3">
      <c r="A140" t="s">
        <v>163</v>
      </c>
      <c r="B140" s="1">
        <v>45822</v>
      </c>
      <c r="C140" t="s">
        <v>19</v>
      </c>
      <c r="D140" t="s">
        <v>20</v>
      </c>
      <c r="E140" t="s">
        <v>30</v>
      </c>
      <c r="F140">
        <v>6</v>
      </c>
      <c r="G140">
        <v>1928.78</v>
      </c>
      <c r="H140">
        <v>281.52999999999997</v>
      </c>
    </row>
    <row r="141" spans="1:8" x14ac:dyDescent="0.3">
      <c r="A141" t="s">
        <v>164</v>
      </c>
      <c r="B141" s="1">
        <v>45997</v>
      </c>
      <c r="C141" t="s">
        <v>39</v>
      </c>
      <c r="D141" t="s">
        <v>10</v>
      </c>
      <c r="E141" t="s">
        <v>14</v>
      </c>
      <c r="F141">
        <v>5</v>
      </c>
      <c r="G141">
        <v>850.17</v>
      </c>
      <c r="H141">
        <v>161.55000000000001</v>
      </c>
    </row>
    <row r="142" spans="1:8" x14ac:dyDescent="0.3">
      <c r="A142" t="s">
        <v>165</v>
      </c>
      <c r="B142" s="1">
        <v>45819</v>
      </c>
      <c r="C142" t="s">
        <v>39</v>
      </c>
      <c r="D142" t="s">
        <v>10</v>
      </c>
      <c r="E142" t="s">
        <v>21</v>
      </c>
      <c r="F142">
        <v>2</v>
      </c>
      <c r="G142">
        <v>308.69</v>
      </c>
      <c r="H142">
        <v>84.59</v>
      </c>
    </row>
    <row r="143" spans="1:8" x14ac:dyDescent="0.3">
      <c r="A143" t="s">
        <v>166</v>
      </c>
      <c r="B143" s="1">
        <v>45994</v>
      </c>
      <c r="C143" t="s">
        <v>19</v>
      </c>
      <c r="D143" t="s">
        <v>20</v>
      </c>
      <c r="E143" t="s">
        <v>14</v>
      </c>
      <c r="F143">
        <v>1</v>
      </c>
      <c r="G143">
        <v>294.79000000000002</v>
      </c>
      <c r="H143">
        <v>34.64</v>
      </c>
    </row>
    <row r="144" spans="1:8" x14ac:dyDescent="0.3">
      <c r="A144" t="s">
        <v>167</v>
      </c>
      <c r="B144" s="1">
        <v>45978</v>
      </c>
      <c r="C144" t="s">
        <v>25</v>
      </c>
      <c r="D144" t="s">
        <v>20</v>
      </c>
      <c r="E144" t="s">
        <v>14</v>
      </c>
      <c r="F144">
        <v>8</v>
      </c>
      <c r="G144">
        <v>1851.52</v>
      </c>
      <c r="H144">
        <v>223.5</v>
      </c>
    </row>
    <row r="145" spans="1:8" x14ac:dyDescent="0.3">
      <c r="A145" t="s">
        <v>168</v>
      </c>
      <c r="B145" s="1">
        <v>45805</v>
      </c>
      <c r="C145" t="s">
        <v>13</v>
      </c>
      <c r="D145" t="s">
        <v>10</v>
      </c>
      <c r="E145" t="s">
        <v>14</v>
      </c>
      <c r="F145">
        <v>3</v>
      </c>
      <c r="G145">
        <v>242.14</v>
      </c>
      <c r="H145">
        <v>42.84</v>
      </c>
    </row>
    <row r="146" spans="1:8" x14ac:dyDescent="0.3">
      <c r="A146" t="s">
        <v>169</v>
      </c>
      <c r="B146" s="1">
        <v>46021</v>
      </c>
      <c r="C146" t="s">
        <v>55</v>
      </c>
      <c r="D146" t="s">
        <v>10</v>
      </c>
      <c r="E146" t="s">
        <v>11</v>
      </c>
      <c r="F146">
        <v>4</v>
      </c>
      <c r="G146">
        <v>2501.59</v>
      </c>
      <c r="H146">
        <v>206.97</v>
      </c>
    </row>
    <row r="147" spans="1:8" x14ac:dyDescent="0.3">
      <c r="A147" t="s">
        <v>170</v>
      </c>
      <c r="B147" s="1">
        <v>45773</v>
      </c>
      <c r="C147" t="s">
        <v>19</v>
      </c>
      <c r="D147" t="s">
        <v>20</v>
      </c>
      <c r="E147" t="s">
        <v>30</v>
      </c>
      <c r="F147">
        <v>2</v>
      </c>
      <c r="G147">
        <v>595.37</v>
      </c>
      <c r="H147">
        <v>61.62</v>
      </c>
    </row>
    <row r="148" spans="1:8" x14ac:dyDescent="0.3">
      <c r="A148" t="s">
        <v>171</v>
      </c>
      <c r="B148" s="1">
        <v>45807</v>
      </c>
      <c r="C148" t="s">
        <v>23</v>
      </c>
      <c r="D148" t="s">
        <v>17</v>
      </c>
      <c r="E148" t="s">
        <v>21</v>
      </c>
      <c r="F148">
        <v>8</v>
      </c>
      <c r="G148">
        <v>196.62</v>
      </c>
      <c r="H148">
        <v>34.700000000000003</v>
      </c>
    </row>
    <row r="149" spans="1:8" x14ac:dyDescent="0.3">
      <c r="A149" t="s">
        <v>172</v>
      </c>
      <c r="B149" s="1">
        <v>45891</v>
      </c>
      <c r="C149" t="s">
        <v>39</v>
      </c>
      <c r="D149" t="s">
        <v>10</v>
      </c>
      <c r="E149" t="s">
        <v>11</v>
      </c>
      <c r="F149">
        <v>4</v>
      </c>
      <c r="G149">
        <v>625.1</v>
      </c>
      <c r="H149">
        <v>165.26</v>
      </c>
    </row>
    <row r="150" spans="1:8" x14ac:dyDescent="0.3">
      <c r="A150" t="s">
        <v>173</v>
      </c>
      <c r="B150" s="1">
        <v>45693</v>
      </c>
      <c r="C150" t="s">
        <v>13</v>
      </c>
      <c r="D150" t="s">
        <v>10</v>
      </c>
      <c r="E150" t="s">
        <v>21</v>
      </c>
      <c r="F150">
        <v>3</v>
      </c>
      <c r="G150">
        <v>237.27</v>
      </c>
      <c r="H150">
        <v>59.53</v>
      </c>
    </row>
    <row r="151" spans="1:8" x14ac:dyDescent="0.3">
      <c r="A151" t="s">
        <v>174</v>
      </c>
      <c r="B151" s="1">
        <v>45659</v>
      </c>
      <c r="C151" t="s">
        <v>25</v>
      </c>
      <c r="D151" t="s">
        <v>20</v>
      </c>
      <c r="E151" t="s">
        <v>21</v>
      </c>
      <c r="F151">
        <v>5</v>
      </c>
      <c r="G151">
        <v>1149.73</v>
      </c>
      <c r="H151">
        <v>284.55</v>
      </c>
    </row>
    <row r="152" spans="1:8" x14ac:dyDescent="0.3">
      <c r="A152" t="s">
        <v>175</v>
      </c>
      <c r="B152" s="1">
        <v>45734</v>
      </c>
      <c r="C152" t="s">
        <v>27</v>
      </c>
      <c r="D152" t="s">
        <v>17</v>
      </c>
      <c r="E152" t="s">
        <v>14</v>
      </c>
      <c r="F152">
        <v>8</v>
      </c>
      <c r="G152">
        <v>241.85</v>
      </c>
      <c r="H152">
        <v>36.04</v>
      </c>
    </row>
    <row r="153" spans="1:8" x14ac:dyDescent="0.3">
      <c r="A153" t="s">
        <v>176</v>
      </c>
      <c r="B153" s="1">
        <v>45891</v>
      </c>
      <c r="C153" t="s">
        <v>13</v>
      </c>
      <c r="D153" t="s">
        <v>10</v>
      </c>
      <c r="E153" t="s">
        <v>21</v>
      </c>
      <c r="F153">
        <v>7</v>
      </c>
      <c r="G153">
        <v>563.80999999999995</v>
      </c>
      <c r="H153">
        <v>155.69999999999999</v>
      </c>
    </row>
    <row r="154" spans="1:8" x14ac:dyDescent="0.3">
      <c r="A154" t="s">
        <v>177</v>
      </c>
      <c r="B154" s="1">
        <v>45777</v>
      </c>
      <c r="C154" t="s">
        <v>16</v>
      </c>
      <c r="D154" t="s">
        <v>17</v>
      </c>
      <c r="E154" t="s">
        <v>14</v>
      </c>
      <c r="F154">
        <v>7</v>
      </c>
      <c r="G154">
        <v>254.44</v>
      </c>
      <c r="H154">
        <v>58.25</v>
      </c>
    </row>
    <row r="155" spans="1:8" x14ac:dyDescent="0.3">
      <c r="A155" t="s">
        <v>178</v>
      </c>
      <c r="B155" s="1">
        <v>45997</v>
      </c>
      <c r="C155" t="s">
        <v>19</v>
      </c>
      <c r="D155" t="s">
        <v>20</v>
      </c>
      <c r="E155" t="s">
        <v>11</v>
      </c>
      <c r="F155">
        <v>7</v>
      </c>
      <c r="G155">
        <v>2098.04</v>
      </c>
      <c r="H155">
        <v>183.38</v>
      </c>
    </row>
    <row r="156" spans="1:8" x14ac:dyDescent="0.3">
      <c r="A156" t="s">
        <v>179</v>
      </c>
      <c r="B156" s="1">
        <v>45709</v>
      </c>
      <c r="C156" t="s">
        <v>13</v>
      </c>
      <c r="D156" t="s">
        <v>10</v>
      </c>
      <c r="E156" t="s">
        <v>14</v>
      </c>
      <c r="F156">
        <v>6</v>
      </c>
      <c r="G156">
        <v>413.97</v>
      </c>
      <c r="H156">
        <v>108.5</v>
      </c>
    </row>
    <row r="157" spans="1:8" x14ac:dyDescent="0.3">
      <c r="A157" t="s">
        <v>180</v>
      </c>
      <c r="B157" s="1">
        <v>45867</v>
      </c>
      <c r="C157" t="s">
        <v>55</v>
      </c>
      <c r="D157" t="s">
        <v>10</v>
      </c>
      <c r="E157" t="s">
        <v>11</v>
      </c>
      <c r="F157">
        <v>3</v>
      </c>
      <c r="G157">
        <v>1784.18</v>
      </c>
      <c r="H157">
        <v>421.61</v>
      </c>
    </row>
    <row r="158" spans="1:8" x14ac:dyDescent="0.3">
      <c r="A158" t="s">
        <v>181</v>
      </c>
      <c r="B158" s="1">
        <v>45977</v>
      </c>
      <c r="C158" t="s">
        <v>32</v>
      </c>
      <c r="D158" t="s">
        <v>17</v>
      </c>
      <c r="E158" t="s">
        <v>14</v>
      </c>
      <c r="F158">
        <v>6</v>
      </c>
      <c r="G158">
        <v>370.79</v>
      </c>
      <c r="H158">
        <v>92.83</v>
      </c>
    </row>
    <row r="159" spans="1:8" x14ac:dyDescent="0.3">
      <c r="A159" t="s">
        <v>182</v>
      </c>
      <c r="B159" s="1">
        <v>45820</v>
      </c>
      <c r="C159" t="s">
        <v>13</v>
      </c>
      <c r="D159" t="s">
        <v>10</v>
      </c>
      <c r="E159" t="s">
        <v>14</v>
      </c>
      <c r="F159">
        <v>7</v>
      </c>
      <c r="G159">
        <v>564.1</v>
      </c>
      <c r="H159">
        <v>49.18</v>
      </c>
    </row>
    <row r="160" spans="1:8" x14ac:dyDescent="0.3">
      <c r="A160" t="s">
        <v>183</v>
      </c>
      <c r="B160" s="1">
        <v>45981</v>
      </c>
      <c r="C160" t="s">
        <v>9</v>
      </c>
      <c r="D160" t="s">
        <v>10</v>
      </c>
      <c r="E160" t="s">
        <v>21</v>
      </c>
      <c r="F160">
        <v>4</v>
      </c>
      <c r="G160">
        <v>791.63</v>
      </c>
      <c r="H160">
        <v>181.56</v>
      </c>
    </row>
    <row r="161" spans="1:8" x14ac:dyDescent="0.3">
      <c r="A161" t="s">
        <v>184</v>
      </c>
      <c r="B161" s="1">
        <v>45982</v>
      </c>
      <c r="C161" t="s">
        <v>19</v>
      </c>
      <c r="D161" t="s">
        <v>20</v>
      </c>
      <c r="E161" t="s">
        <v>30</v>
      </c>
      <c r="F161">
        <v>2</v>
      </c>
      <c r="G161">
        <v>593.24</v>
      </c>
      <c r="H161">
        <v>129.80000000000001</v>
      </c>
    </row>
    <row r="162" spans="1:8" x14ac:dyDescent="0.3">
      <c r="A162" t="s">
        <v>185</v>
      </c>
      <c r="B162" s="1">
        <v>45824</v>
      </c>
      <c r="C162" t="s">
        <v>55</v>
      </c>
      <c r="D162" t="s">
        <v>10</v>
      </c>
      <c r="E162" t="s">
        <v>30</v>
      </c>
      <c r="F162">
        <v>1</v>
      </c>
      <c r="G162">
        <v>623.14</v>
      </c>
      <c r="H162">
        <v>96.57</v>
      </c>
    </row>
    <row r="163" spans="1:8" x14ac:dyDescent="0.3">
      <c r="A163" t="s">
        <v>186</v>
      </c>
      <c r="B163" s="1">
        <v>45929</v>
      </c>
      <c r="C163" t="s">
        <v>23</v>
      </c>
      <c r="D163" t="s">
        <v>17</v>
      </c>
      <c r="E163" t="s">
        <v>14</v>
      </c>
      <c r="F163">
        <v>4</v>
      </c>
      <c r="G163">
        <v>101.32</v>
      </c>
      <c r="H163">
        <v>24.17</v>
      </c>
    </row>
    <row r="164" spans="1:8" x14ac:dyDescent="0.3">
      <c r="A164" t="s">
        <v>187</v>
      </c>
      <c r="B164" s="1">
        <v>45698</v>
      </c>
      <c r="C164" t="s">
        <v>23</v>
      </c>
      <c r="D164" t="s">
        <v>17</v>
      </c>
      <c r="E164" t="s">
        <v>14</v>
      </c>
      <c r="F164">
        <v>3</v>
      </c>
      <c r="G164">
        <v>76.8</v>
      </c>
      <c r="H164">
        <v>9.84</v>
      </c>
    </row>
    <row r="165" spans="1:8" x14ac:dyDescent="0.3">
      <c r="A165" t="s">
        <v>188</v>
      </c>
      <c r="B165" s="1">
        <v>45776</v>
      </c>
      <c r="C165" t="s">
        <v>27</v>
      </c>
      <c r="D165" t="s">
        <v>17</v>
      </c>
      <c r="E165" t="s">
        <v>14</v>
      </c>
      <c r="F165">
        <v>3</v>
      </c>
      <c r="G165">
        <v>92.48</v>
      </c>
      <c r="H165">
        <v>15.9</v>
      </c>
    </row>
    <row r="166" spans="1:8" x14ac:dyDescent="0.3">
      <c r="A166" t="s">
        <v>189</v>
      </c>
      <c r="B166" s="1">
        <v>45805</v>
      </c>
      <c r="C166" t="s">
        <v>55</v>
      </c>
      <c r="D166" t="s">
        <v>10</v>
      </c>
      <c r="E166" t="s">
        <v>11</v>
      </c>
      <c r="F166">
        <v>8</v>
      </c>
      <c r="G166">
        <v>4756.82</v>
      </c>
      <c r="H166">
        <v>1279.81</v>
      </c>
    </row>
    <row r="167" spans="1:8" x14ac:dyDescent="0.3">
      <c r="A167" t="s">
        <v>190</v>
      </c>
      <c r="B167" s="1">
        <v>45985</v>
      </c>
      <c r="C167" t="s">
        <v>27</v>
      </c>
      <c r="D167" t="s">
        <v>17</v>
      </c>
      <c r="E167" t="s">
        <v>14</v>
      </c>
      <c r="F167">
        <v>5</v>
      </c>
      <c r="G167">
        <v>155.71</v>
      </c>
      <c r="H167">
        <v>26.68</v>
      </c>
    </row>
    <row r="168" spans="1:8" x14ac:dyDescent="0.3">
      <c r="A168" t="s">
        <v>191</v>
      </c>
      <c r="B168" s="1">
        <v>45854</v>
      </c>
      <c r="C168" t="s">
        <v>32</v>
      </c>
      <c r="D168" t="s">
        <v>17</v>
      </c>
      <c r="E168" t="s">
        <v>14</v>
      </c>
      <c r="F168">
        <v>4</v>
      </c>
      <c r="G168">
        <v>221.12</v>
      </c>
      <c r="H168">
        <v>34.56</v>
      </c>
    </row>
    <row r="169" spans="1:8" x14ac:dyDescent="0.3">
      <c r="A169" t="s">
        <v>192</v>
      </c>
      <c r="B169" s="1">
        <v>46016</v>
      </c>
      <c r="C169" t="s">
        <v>25</v>
      </c>
      <c r="D169" t="s">
        <v>20</v>
      </c>
      <c r="E169" t="s">
        <v>21</v>
      </c>
      <c r="F169">
        <v>5</v>
      </c>
      <c r="G169">
        <v>994.83</v>
      </c>
      <c r="H169">
        <v>244.74</v>
      </c>
    </row>
    <row r="170" spans="1:8" x14ac:dyDescent="0.3">
      <c r="A170" t="s">
        <v>193</v>
      </c>
      <c r="B170" s="1">
        <v>45662</v>
      </c>
      <c r="C170" t="s">
        <v>19</v>
      </c>
      <c r="D170" t="s">
        <v>20</v>
      </c>
      <c r="E170" t="s">
        <v>30</v>
      </c>
      <c r="F170">
        <v>5</v>
      </c>
      <c r="G170">
        <v>1623.19</v>
      </c>
      <c r="H170">
        <v>371.77</v>
      </c>
    </row>
    <row r="171" spans="1:8" x14ac:dyDescent="0.3">
      <c r="A171" t="s">
        <v>194</v>
      </c>
      <c r="B171" s="1">
        <v>45968</v>
      </c>
      <c r="C171" t="s">
        <v>32</v>
      </c>
      <c r="D171" t="s">
        <v>17</v>
      </c>
      <c r="E171" t="s">
        <v>21</v>
      </c>
      <c r="F171">
        <v>4</v>
      </c>
      <c r="G171">
        <v>226.51</v>
      </c>
      <c r="H171">
        <v>26.73</v>
      </c>
    </row>
    <row r="172" spans="1:8" x14ac:dyDescent="0.3">
      <c r="A172" t="s">
        <v>195</v>
      </c>
      <c r="B172" s="1">
        <v>45979</v>
      </c>
      <c r="C172" t="s">
        <v>32</v>
      </c>
      <c r="D172" t="s">
        <v>17</v>
      </c>
      <c r="E172" t="s">
        <v>30</v>
      </c>
      <c r="F172">
        <v>3</v>
      </c>
      <c r="G172">
        <v>194.52</v>
      </c>
      <c r="H172">
        <v>40.71</v>
      </c>
    </row>
    <row r="173" spans="1:8" x14ac:dyDescent="0.3">
      <c r="A173" t="s">
        <v>196</v>
      </c>
      <c r="B173" s="1">
        <v>45675</v>
      </c>
      <c r="C173" t="s">
        <v>32</v>
      </c>
      <c r="D173" t="s">
        <v>17</v>
      </c>
      <c r="E173" t="s">
        <v>21</v>
      </c>
      <c r="F173">
        <v>8</v>
      </c>
      <c r="G173">
        <v>502.31</v>
      </c>
      <c r="H173">
        <v>49.24</v>
      </c>
    </row>
    <row r="174" spans="1:8" x14ac:dyDescent="0.3">
      <c r="A174" t="s">
        <v>197</v>
      </c>
      <c r="B174" s="1">
        <v>45870</v>
      </c>
      <c r="C174" t="s">
        <v>32</v>
      </c>
      <c r="D174" t="s">
        <v>17</v>
      </c>
      <c r="E174" t="s">
        <v>11</v>
      </c>
      <c r="F174">
        <v>6</v>
      </c>
      <c r="G174">
        <v>338.46</v>
      </c>
      <c r="H174">
        <v>80.319999999999993</v>
      </c>
    </row>
    <row r="175" spans="1:8" x14ac:dyDescent="0.3">
      <c r="A175" t="s">
        <v>198</v>
      </c>
      <c r="B175" s="1">
        <v>45742</v>
      </c>
      <c r="C175" t="s">
        <v>25</v>
      </c>
      <c r="D175" t="s">
        <v>20</v>
      </c>
      <c r="E175" t="s">
        <v>21</v>
      </c>
      <c r="F175">
        <v>5</v>
      </c>
      <c r="G175">
        <v>1191.0899999999999</v>
      </c>
      <c r="H175">
        <v>320.20999999999998</v>
      </c>
    </row>
    <row r="176" spans="1:8" x14ac:dyDescent="0.3">
      <c r="A176" t="s">
        <v>199</v>
      </c>
      <c r="B176" s="1">
        <v>45716</v>
      </c>
      <c r="C176" t="s">
        <v>32</v>
      </c>
      <c r="D176" t="s">
        <v>17</v>
      </c>
      <c r="E176" t="s">
        <v>14</v>
      </c>
      <c r="F176">
        <v>6</v>
      </c>
      <c r="G176">
        <v>393.33</v>
      </c>
      <c r="H176">
        <v>42.54</v>
      </c>
    </row>
    <row r="177" spans="1:8" x14ac:dyDescent="0.3">
      <c r="A177" t="s">
        <v>200</v>
      </c>
      <c r="B177" s="1">
        <v>45943</v>
      </c>
      <c r="C177" t="s">
        <v>16</v>
      </c>
      <c r="D177" t="s">
        <v>17</v>
      </c>
      <c r="E177" t="s">
        <v>21</v>
      </c>
      <c r="F177">
        <v>7</v>
      </c>
      <c r="G177">
        <v>257.06</v>
      </c>
      <c r="H177">
        <v>40.85</v>
      </c>
    </row>
    <row r="178" spans="1:8" x14ac:dyDescent="0.3">
      <c r="A178" t="s">
        <v>201</v>
      </c>
      <c r="B178" s="1">
        <v>45890</v>
      </c>
      <c r="C178" t="s">
        <v>32</v>
      </c>
      <c r="D178" t="s">
        <v>17</v>
      </c>
      <c r="E178" t="s">
        <v>21</v>
      </c>
      <c r="F178">
        <v>2</v>
      </c>
      <c r="G178">
        <v>124.15</v>
      </c>
      <c r="H178">
        <v>26.63</v>
      </c>
    </row>
    <row r="179" spans="1:8" x14ac:dyDescent="0.3">
      <c r="A179" t="s">
        <v>202</v>
      </c>
      <c r="B179" s="1">
        <v>45984</v>
      </c>
      <c r="C179" t="s">
        <v>27</v>
      </c>
      <c r="D179" t="s">
        <v>17</v>
      </c>
      <c r="E179" t="s">
        <v>21</v>
      </c>
      <c r="F179">
        <v>7</v>
      </c>
      <c r="G179">
        <v>193.55</v>
      </c>
      <c r="H179">
        <v>24.54</v>
      </c>
    </row>
    <row r="180" spans="1:8" x14ac:dyDescent="0.3">
      <c r="A180" t="s">
        <v>203</v>
      </c>
      <c r="B180" s="1">
        <v>45970</v>
      </c>
      <c r="C180" t="s">
        <v>55</v>
      </c>
      <c r="D180" t="s">
        <v>10</v>
      </c>
      <c r="E180" t="s">
        <v>11</v>
      </c>
      <c r="F180">
        <v>6</v>
      </c>
      <c r="G180">
        <v>4015.17</v>
      </c>
      <c r="H180">
        <v>831.46</v>
      </c>
    </row>
    <row r="181" spans="1:8" x14ac:dyDescent="0.3">
      <c r="A181" t="s">
        <v>204</v>
      </c>
      <c r="B181" s="1">
        <v>45990</v>
      </c>
      <c r="C181" t="s">
        <v>39</v>
      </c>
      <c r="D181" t="s">
        <v>10</v>
      </c>
      <c r="E181" t="s">
        <v>14</v>
      </c>
      <c r="F181">
        <v>5</v>
      </c>
      <c r="G181">
        <v>738.67</v>
      </c>
      <c r="H181">
        <v>65.790000000000006</v>
      </c>
    </row>
    <row r="182" spans="1:8" x14ac:dyDescent="0.3">
      <c r="A182" t="s">
        <v>205</v>
      </c>
      <c r="B182" s="1">
        <v>45910</v>
      </c>
      <c r="C182" t="s">
        <v>55</v>
      </c>
      <c r="D182" t="s">
        <v>10</v>
      </c>
      <c r="E182" t="s">
        <v>30</v>
      </c>
      <c r="F182">
        <v>5</v>
      </c>
      <c r="G182">
        <v>2988.17</v>
      </c>
      <c r="H182">
        <v>769.31</v>
      </c>
    </row>
    <row r="183" spans="1:8" x14ac:dyDescent="0.3">
      <c r="A183" t="s">
        <v>206</v>
      </c>
      <c r="B183" s="1">
        <v>45890</v>
      </c>
      <c r="C183" t="s">
        <v>23</v>
      </c>
      <c r="D183" t="s">
        <v>17</v>
      </c>
      <c r="E183" t="s">
        <v>21</v>
      </c>
      <c r="F183">
        <v>7</v>
      </c>
      <c r="G183">
        <v>180.97</v>
      </c>
      <c r="H183">
        <v>41.37</v>
      </c>
    </row>
    <row r="184" spans="1:8" x14ac:dyDescent="0.3">
      <c r="A184" t="s">
        <v>207</v>
      </c>
      <c r="B184" s="1">
        <v>45958</v>
      </c>
      <c r="C184" t="s">
        <v>13</v>
      </c>
      <c r="D184" t="s">
        <v>10</v>
      </c>
      <c r="E184" t="s">
        <v>11</v>
      </c>
      <c r="F184">
        <v>7</v>
      </c>
      <c r="G184">
        <v>565.47</v>
      </c>
      <c r="H184">
        <v>119.31</v>
      </c>
    </row>
    <row r="185" spans="1:8" x14ac:dyDescent="0.3">
      <c r="A185" t="s">
        <v>208</v>
      </c>
      <c r="B185" s="1">
        <v>45801</v>
      </c>
      <c r="C185" t="s">
        <v>39</v>
      </c>
      <c r="D185" t="s">
        <v>10</v>
      </c>
      <c r="E185" t="s">
        <v>30</v>
      </c>
      <c r="F185">
        <v>7</v>
      </c>
      <c r="G185">
        <v>1162.6199999999999</v>
      </c>
      <c r="H185">
        <v>143.53</v>
      </c>
    </row>
    <row r="186" spans="1:8" x14ac:dyDescent="0.3">
      <c r="A186" t="s">
        <v>209</v>
      </c>
      <c r="B186" s="1">
        <v>45843</v>
      </c>
      <c r="C186" t="s">
        <v>39</v>
      </c>
      <c r="D186" t="s">
        <v>10</v>
      </c>
      <c r="E186" t="s">
        <v>30</v>
      </c>
      <c r="F186">
        <v>4</v>
      </c>
      <c r="G186">
        <v>701.56</v>
      </c>
      <c r="H186">
        <v>107.67</v>
      </c>
    </row>
    <row r="187" spans="1:8" x14ac:dyDescent="0.3">
      <c r="A187" t="s">
        <v>210</v>
      </c>
      <c r="B187" s="1">
        <v>45861</v>
      </c>
      <c r="C187" t="s">
        <v>25</v>
      </c>
      <c r="D187" t="s">
        <v>20</v>
      </c>
      <c r="E187" t="s">
        <v>21</v>
      </c>
      <c r="F187">
        <v>1</v>
      </c>
      <c r="G187">
        <v>206.35</v>
      </c>
      <c r="H187">
        <v>21.55</v>
      </c>
    </row>
    <row r="188" spans="1:8" x14ac:dyDescent="0.3">
      <c r="A188" t="s">
        <v>211</v>
      </c>
      <c r="B188" s="1">
        <v>45997</v>
      </c>
      <c r="C188" t="s">
        <v>39</v>
      </c>
      <c r="D188" t="s">
        <v>10</v>
      </c>
      <c r="E188" t="s">
        <v>11</v>
      </c>
      <c r="F188">
        <v>2</v>
      </c>
      <c r="G188">
        <v>329.07</v>
      </c>
      <c r="H188">
        <v>65.63</v>
      </c>
    </row>
    <row r="189" spans="1:8" x14ac:dyDescent="0.3">
      <c r="A189" t="s">
        <v>212</v>
      </c>
      <c r="B189" s="1">
        <v>45828</v>
      </c>
      <c r="C189" t="s">
        <v>55</v>
      </c>
      <c r="D189" t="s">
        <v>10</v>
      </c>
      <c r="E189" t="s">
        <v>11</v>
      </c>
      <c r="F189">
        <v>1</v>
      </c>
      <c r="G189">
        <v>713.55</v>
      </c>
      <c r="H189">
        <v>169.39</v>
      </c>
    </row>
    <row r="190" spans="1:8" x14ac:dyDescent="0.3">
      <c r="A190" t="s">
        <v>213</v>
      </c>
      <c r="B190" s="1">
        <v>45941</v>
      </c>
      <c r="C190" t="s">
        <v>16</v>
      </c>
      <c r="D190" t="s">
        <v>17</v>
      </c>
      <c r="E190" t="s">
        <v>11</v>
      </c>
      <c r="F190">
        <v>2</v>
      </c>
      <c r="G190">
        <v>81.38</v>
      </c>
      <c r="H190">
        <v>19.739999999999998</v>
      </c>
    </row>
    <row r="191" spans="1:8" x14ac:dyDescent="0.3">
      <c r="A191" t="s">
        <v>214</v>
      </c>
      <c r="B191" s="1">
        <v>45733</v>
      </c>
      <c r="C191" t="s">
        <v>16</v>
      </c>
      <c r="D191" t="s">
        <v>17</v>
      </c>
      <c r="E191" t="s">
        <v>30</v>
      </c>
      <c r="F191">
        <v>6</v>
      </c>
      <c r="G191">
        <v>229.31</v>
      </c>
      <c r="H191">
        <v>63.47</v>
      </c>
    </row>
    <row r="192" spans="1:8" x14ac:dyDescent="0.3">
      <c r="A192" t="s">
        <v>215</v>
      </c>
      <c r="B192" s="1">
        <v>45747</v>
      </c>
      <c r="C192" t="s">
        <v>23</v>
      </c>
      <c r="D192" t="s">
        <v>17</v>
      </c>
      <c r="E192" t="s">
        <v>30</v>
      </c>
      <c r="F192">
        <v>5</v>
      </c>
      <c r="G192">
        <v>129.03</v>
      </c>
      <c r="H192">
        <v>10.99</v>
      </c>
    </row>
    <row r="193" spans="1:8" x14ac:dyDescent="0.3">
      <c r="A193" t="s">
        <v>216</v>
      </c>
      <c r="B193" s="1">
        <v>45779</v>
      </c>
      <c r="C193" t="s">
        <v>55</v>
      </c>
      <c r="D193" t="s">
        <v>10</v>
      </c>
      <c r="E193" t="s">
        <v>21</v>
      </c>
      <c r="F193">
        <v>6</v>
      </c>
      <c r="G193">
        <v>3522.31</v>
      </c>
      <c r="H193">
        <v>468.73</v>
      </c>
    </row>
    <row r="194" spans="1:8" x14ac:dyDescent="0.3">
      <c r="A194" t="s">
        <v>217</v>
      </c>
      <c r="B194" s="1">
        <v>45927</v>
      </c>
      <c r="C194" t="s">
        <v>23</v>
      </c>
      <c r="D194" t="s">
        <v>17</v>
      </c>
      <c r="E194" t="s">
        <v>30</v>
      </c>
      <c r="F194">
        <v>7</v>
      </c>
      <c r="G194">
        <v>183.6</v>
      </c>
      <c r="H194">
        <v>32.18</v>
      </c>
    </row>
    <row r="195" spans="1:8" x14ac:dyDescent="0.3">
      <c r="A195" t="s">
        <v>218</v>
      </c>
      <c r="B195" s="1">
        <v>45889</v>
      </c>
      <c r="C195" t="s">
        <v>25</v>
      </c>
      <c r="D195" t="s">
        <v>20</v>
      </c>
      <c r="E195" t="s">
        <v>11</v>
      </c>
      <c r="F195">
        <v>2</v>
      </c>
      <c r="G195">
        <v>479.2</v>
      </c>
      <c r="H195">
        <v>42.49</v>
      </c>
    </row>
    <row r="196" spans="1:8" x14ac:dyDescent="0.3">
      <c r="A196" t="s">
        <v>219</v>
      </c>
      <c r="B196" s="1">
        <v>45892</v>
      </c>
      <c r="C196" t="s">
        <v>13</v>
      </c>
      <c r="D196" t="s">
        <v>10</v>
      </c>
      <c r="E196" t="s">
        <v>30</v>
      </c>
      <c r="F196">
        <v>5</v>
      </c>
      <c r="G196">
        <v>342.06</v>
      </c>
      <c r="H196">
        <v>60.13</v>
      </c>
    </row>
    <row r="197" spans="1:8" x14ac:dyDescent="0.3">
      <c r="A197" t="s">
        <v>220</v>
      </c>
      <c r="B197" s="1">
        <v>46009</v>
      </c>
      <c r="C197" t="s">
        <v>19</v>
      </c>
      <c r="D197" t="s">
        <v>20</v>
      </c>
      <c r="E197" t="s">
        <v>30</v>
      </c>
      <c r="F197">
        <v>7</v>
      </c>
      <c r="G197">
        <v>2095.91</v>
      </c>
      <c r="H197">
        <v>549</v>
      </c>
    </row>
    <row r="198" spans="1:8" x14ac:dyDescent="0.3">
      <c r="A198" t="s">
        <v>221</v>
      </c>
      <c r="B198" s="1">
        <v>45822</v>
      </c>
      <c r="C198" t="s">
        <v>9</v>
      </c>
      <c r="D198" t="s">
        <v>10</v>
      </c>
      <c r="E198" t="s">
        <v>11</v>
      </c>
      <c r="F198">
        <v>2</v>
      </c>
      <c r="G198">
        <v>328.73</v>
      </c>
      <c r="H198">
        <v>44.38</v>
      </c>
    </row>
    <row r="199" spans="1:8" x14ac:dyDescent="0.3">
      <c r="A199" t="s">
        <v>222</v>
      </c>
      <c r="B199" s="1">
        <v>45853</v>
      </c>
      <c r="C199" t="s">
        <v>27</v>
      </c>
      <c r="D199" t="s">
        <v>17</v>
      </c>
      <c r="E199" t="s">
        <v>21</v>
      </c>
      <c r="F199">
        <v>6</v>
      </c>
      <c r="G199">
        <v>178.33</v>
      </c>
      <c r="H199">
        <v>35.86</v>
      </c>
    </row>
    <row r="200" spans="1:8" x14ac:dyDescent="0.3">
      <c r="A200" t="s">
        <v>223</v>
      </c>
      <c r="B200" s="1">
        <v>45993</v>
      </c>
      <c r="C200" t="s">
        <v>9</v>
      </c>
      <c r="D200" t="s">
        <v>10</v>
      </c>
      <c r="E200" t="s">
        <v>11</v>
      </c>
      <c r="F200">
        <v>2</v>
      </c>
      <c r="G200">
        <v>354.97</v>
      </c>
      <c r="H200">
        <v>91.45</v>
      </c>
    </row>
    <row r="201" spans="1:8" x14ac:dyDescent="0.3">
      <c r="A201" t="s">
        <v>224</v>
      </c>
      <c r="B201" s="1">
        <v>45890</v>
      </c>
      <c r="C201" t="s">
        <v>19</v>
      </c>
      <c r="D201" t="s">
        <v>20</v>
      </c>
      <c r="E201" t="s">
        <v>14</v>
      </c>
      <c r="F201">
        <v>6</v>
      </c>
      <c r="G201">
        <v>1769.76</v>
      </c>
      <c r="H201">
        <v>175.24</v>
      </c>
    </row>
    <row r="202" spans="1:8" x14ac:dyDescent="0.3">
      <c r="A202" t="s">
        <v>225</v>
      </c>
      <c r="B202" s="1">
        <v>45998</v>
      </c>
      <c r="C202" t="s">
        <v>19</v>
      </c>
      <c r="D202" t="s">
        <v>20</v>
      </c>
      <c r="E202" t="s">
        <v>21</v>
      </c>
      <c r="F202">
        <v>6</v>
      </c>
      <c r="G202">
        <v>1754.75</v>
      </c>
      <c r="H202">
        <v>193.95</v>
      </c>
    </row>
    <row r="203" spans="1:8" x14ac:dyDescent="0.3">
      <c r="A203" t="s">
        <v>226</v>
      </c>
      <c r="B203" s="1">
        <v>45704</v>
      </c>
      <c r="C203" t="s">
        <v>39</v>
      </c>
      <c r="D203" t="s">
        <v>10</v>
      </c>
      <c r="E203" t="s">
        <v>30</v>
      </c>
      <c r="F203">
        <v>2</v>
      </c>
      <c r="G203">
        <v>293.97000000000003</v>
      </c>
      <c r="H203">
        <v>29.2</v>
      </c>
    </row>
    <row r="204" spans="1:8" x14ac:dyDescent="0.3">
      <c r="A204" t="s">
        <v>227</v>
      </c>
      <c r="B204" s="1">
        <v>45942</v>
      </c>
      <c r="C204" t="s">
        <v>25</v>
      </c>
      <c r="D204" t="s">
        <v>20</v>
      </c>
      <c r="E204" t="s">
        <v>30</v>
      </c>
      <c r="F204">
        <v>3</v>
      </c>
      <c r="G204">
        <v>671.41</v>
      </c>
      <c r="H204">
        <v>129.12</v>
      </c>
    </row>
    <row r="205" spans="1:8" x14ac:dyDescent="0.3">
      <c r="A205" t="s">
        <v>228</v>
      </c>
      <c r="B205" s="1">
        <v>45868</v>
      </c>
      <c r="C205" t="s">
        <v>25</v>
      </c>
      <c r="D205" t="s">
        <v>20</v>
      </c>
      <c r="E205" t="s">
        <v>21</v>
      </c>
      <c r="F205">
        <v>2</v>
      </c>
      <c r="G205">
        <v>472.88</v>
      </c>
      <c r="H205">
        <v>126.84</v>
      </c>
    </row>
    <row r="206" spans="1:8" x14ac:dyDescent="0.3">
      <c r="A206" t="s">
        <v>229</v>
      </c>
      <c r="B206" s="1">
        <v>45805</v>
      </c>
      <c r="C206" t="s">
        <v>19</v>
      </c>
      <c r="D206" t="s">
        <v>20</v>
      </c>
      <c r="E206" t="s">
        <v>21</v>
      </c>
      <c r="F206">
        <v>1</v>
      </c>
      <c r="G206">
        <v>291.10000000000002</v>
      </c>
      <c r="H206">
        <v>56.93</v>
      </c>
    </row>
    <row r="207" spans="1:8" x14ac:dyDescent="0.3">
      <c r="A207" t="s">
        <v>230</v>
      </c>
      <c r="B207" s="1">
        <v>45994</v>
      </c>
      <c r="C207" t="s">
        <v>16</v>
      </c>
      <c r="D207" t="s">
        <v>17</v>
      </c>
      <c r="E207" t="s">
        <v>14</v>
      </c>
      <c r="F207">
        <v>3</v>
      </c>
      <c r="G207">
        <v>113.38</v>
      </c>
      <c r="H207">
        <v>11.52</v>
      </c>
    </row>
    <row r="208" spans="1:8" x14ac:dyDescent="0.3">
      <c r="A208" t="s">
        <v>231</v>
      </c>
      <c r="B208" s="1">
        <v>45716</v>
      </c>
      <c r="C208" t="s">
        <v>13</v>
      </c>
      <c r="D208" t="s">
        <v>10</v>
      </c>
      <c r="E208" t="s">
        <v>21</v>
      </c>
      <c r="F208">
        <v>6</v>
      </c>
      <c r="G208">
        <v>456.67</v>
      </c>
      <c r="H208">
        <v>110.26</v>
      </c>
    </row>
    <row r="209" spans="1:8" x14ac:dyDescent="0.3">
      <c r="A209" t="s">
        <v>232</v>
      </c>
      <c r="B209" s="1">
        <v>45969</v>
      </c>
      <c r="C209" t="s">
        <v>13</v>
      </c>
      <c r="D209" t="s">
        <v>10</v>
      </c>
      <c r="E209" t="s">
        <v>21</v>
      </c>
      <c r="F209">
        <v>1</v>
      </c>
      <c r="G209">
        <v>67.930000000000007</v>
      </c>
      <c r="H209">
        <v>9.15</v>
      </c>
    </row>
    <row r="210" spans="1:8" x14ac:dyDescent="0.3">
      <c r="A210" t="s">
        <v>233</v>
      </c>
      <c r="B210" s="1">
        <v>45837</v>
      </c>
      <c r="C210" t="s">
        <v>32</v>
      </c>
      <c r="D210" t="s">
        <v>17</v>
      </c>
      <c r="E210" t="s">
        <v>30</v>
      </c>
      <c r="F210">
        <v>6</v>
      </c>
      <c r="G210">
        <v>337.06</v>
      </c>
      <c r="H210">
        <v>36.619999999999997</v>
      </c>
    </row>
    <row r="211" spans="1:8" x14ac:dyDescent="0.3">
      <c r="A211" t="s">
        <v>234</v>
      </c>
      <c r="B211" s="1">
        <v>45730</v>
      </c>
      <c r="C211" t="s">
        <v>19</v>
      </c>
      <c r="D211" t="s">
        <v>20</v>
      </c>
      <c r="E211" t="s">
        <v>30</v>
      </c>
      <c r="F211">
        <v>2</v>
      </c>
      <c r="G211">
        <v>551.01</v>
      </c>
      <c r="H211">
        <v>102.54</v>
      </c>
    </row>
    <row r="212" spans="1:8" x14ac:dyDescent="0.3">
      <c r="A212" t="s">
        <v>235</v>
      </c>
      <c r="B212" s="1">
        <v>45890</v>
      </c>
      <c r="C212" t="s">
        <v>19</v>
      </c>
      <c r="D212" t="s">
        <v>20</v>
      </c>
      <c r="E212" t="s">
        <v>21</v>
      </c>
      <c r="F212">
        <v>7</v>
      </c>
      <c r="G212">
        <v>1956.11</v>
      </c>
      <c r="H212">
        <v>278.41000000000003</v>
      </c>
    </row>
    <row r="213" spans="1:8" x14ac:dyDescent="0.3">
      <c r="A213" t="s">
        <v>236</v>
      </c>
      <c r="B213" s="1">
        <v>45684</v>
      </c>
      <c r="C213" t="s">
        <v>25</v>
      </c>
      <c r="D213" t="s">
        <v>20</v>
      </c>
      <c r="E213" t="s">
        <v>11</v>
      </c>
      <c r="F213">
        <v>2</v>
      </c>
      <c r="G213">
        <v>409.85</v>
      </c>
      <c r="H213">
        <v>83.43</v>
      </c>
    </row>
    <row r="214" spans="1:8" x14ac:dyDescent="0.3">
      <c r="A214" t="s">
        <v>237</v>
      </c>
      <c r="B214" s="1">
        <v>45884</v>
      </c>
      <c r="C214" t="s">
        <v>9</v>
      </c>
      <c r="D214" t="s">
        <v>10</v>
      </c>
      <c r="E214" t="s">
        <v>14</v>
      </c>
      <c r="F214">
        <v>5</v>
      </c>
      <c r="G214">
        <v>897.42</v>
      </c>
      <c r="H214">
        <v>151.13</v>
      </c>
    </row>
    <row r="215" spans="1:8" x14ac:dyDescent="0.3">
      <c r="A215" t="s">
        <v>238</v>
      </c>
      <c r="B215" s="1">
        <v>45920</v>
      </c>
      <c r="C215" t="s">
        <v>32</v>
      </c>
      <c r="D215" t="s">
        <v>17</v>
      </c>
      <c r="E215" t="s">
        <v>30</v>
      </c>
      <c r="F215">
        <v>4</v>
      </c>
      <c r="G215">
        <v>232.57</v>
      </c>
      <c r="H215">
        <v>23.76</v>
      </c>
    </row>
    <row r="216" spans="1:8" x14ac:dyDescent="0.3">
      <c r="A216" t="s">
        <v>239</v>
      </c>
      <c r="B216" s="1">
        <v>45927</v>
      </c>
      <c r="C216" t="s">
        <v>27</v>
      </c>
      <c r="D216" t="s">
        <v>17</v>
      </c>
      <c r="E216" t="s">
        <v>21</v>
      </c>
      <c r="F216">
        <v>8</v>
      </c>
      <c r="G216">
        <v>218.18</v>
      </c>
      <c r="H216">
        <v>34.700000000000003</v>
      </c>
    </row>
    <row r="217" spans="1:8" x14ac:dyDescent="0.3">
      <c r="A217" t="s">
        <v>240</v>
      </c>
      <c r="B217" s="1">
        <v>45661</v>
      </c>
      <c r="C217" t="s">
        <v>27</v>
      </c>
      <c r="D217" t="s">
        <v>17</v>
      </c>
      <c r="E217" t="s">
        <v>11</v>
      </c>
      <c r="F217">
        <v>1</v>
      </c>
      <c r="G217">
        <v>28.81</v>
      </c>
      <c r="H217">
        <v>3.52</v>
      </c>
    </row>
    <row r="218" spans="1:8" x14ac:dyDescent="0.3">
      <c r="A218" t="s">
        <v>241</v>
      </c>
      <c r="B218" s="1">
        <v>45806</v>
      </c>
      <c r="C218" t="s">
        <v>23</v>
      </c>
      <c r="D218" t="s">
        <v>17</v>
      </c>
      <c r="E218" t="s">
        <v>21</v>
      </c>
      <c r="F218">
        <v>5</v>
      </c>
      <c r="G218">
        <v>115.5</v>
      </c>
      <c r="H218">
        <v>20.73</v>
      </c>
    </row>
    <row r="219" spans="1:8" x14ac:dyDescent="0.3">
      <c r="A219" t="s">
        <v>242</v>
      </c>
      <c r="B219" s="1">
        <v>45724</v>
      </c>
      <c r="C219" t="s">
        <v>19</v>
      </c>
      <c r="D219" t="s">
        <v>20</v>
      </c>
      <c r="E219" t="s">
        <v>14</v>
      </c>
      <c r="F219">
        <v>3</v>
      </c>
      <c r="G219">
        <v>905.86</v>
      </c>
      <c r="H219">
        <v>114.16</v>
      </c>
    </row>
    <row r="220" spans="1:8" x14ac:dyDescent="0.3">
      <c r="A220" t="s">
        <v>243</v>
      </c>
      <c r="B220" s="1">
        <v>45694</v>
      </c>
      <c r="C220" t="s">
        <v>13</v>
      </c>
      <c r="D220" t="s">
        <v>10</v>
      </c>
      <c r="E220" t="s">
        <v>14</v>
      </c>
      <c r="F220">
        <v>6</v>
      </c>
      <c r="G220">
        <v>482.56</v>
      </c>
      <c r="H220">
        <v>42.69</v>
      </c>
    </row>
    <row r="221" spans="1:8" x14ac:dyDescent="0.3">
      <c r="A221" t="s">
        <v>244</v>
      </c>
      <c r="B221" s="1">
        <v>45697</v>
      </c>
      <c r="C221" t="s">
        <v>55</v>
      </c>
      <c r="D221" t="s">
        <v>10</v>
      </c>
      <c r="E221" t="s">
        <v>21</v>
      </c>
      <c r="F221">
        <v>8</v>
      </c>
      <c r="G221">
        <v>5278.79</v>
      </c>
      <c r="H221">
        <v>1027.67</v>
      </c>
    </row>
    <row r="222" spans="1:8" x14ac:dyDescent="0.3">
      <c r="A222" t="s">
        <v>245</v>
      </c>
      <c r="B222" s="1">
        <v>45716</v>
      </c>
      <c r="C222" t="s">
        <v>19</v>
      </c>
      <c r="D222" t="s">
        <v>20</v>
      </c>
      <c r="E222" t="s">
        <v>14</v>
      </c>
      <c r="F222">
        <v>5</v>
      </c>
      <c r="G222">
        <v>1356.26</v>
      </c>
      <c r="H222">
        <v>196.59</v>
      </c>
    </row>
    <row r="223" spans="1:8" x14ac:dyDescent="0.3">
      <c r="A223" t="s">
        <v>246</v>
      </c>
      <c r="B223" s="1">
        <v>46011</v>
      </c>
      <c r="C223" t="s">
        <v>27</v>
      </c>
      <c r="D223" t="s">
        <v>17</v>
      </c>
      <c r="E223" t="s">
        <v>21</v>
      </c>
      <c r="F223">
        <v>8</v>
      </c>
      <c r="G223">
        <v>220.23</v>
      </c>
      <c r="H223">
        <v>54.81</v>
      </c>
    </row>
    <row r="224" spans="1:8" x14ac:dyDescent="0.3">
      <c r="A224" t="s">
        <v>247</v>
      </c>
      <c r="B224" s="1">
        <v>45959</v>
      </c>
      <c r="C224" t="s">
        <v>16</v>
      </c>
      <c r="D224" t="s">
        <v>17</v>
      </c>
      <c r="E224" t="s">
        <v>14</v>
      </c>
      <c r="F224">
        <v>7</v>
      </c>
      <c r="G224">
        <v>281.33999999999997</v>
      </c>
      <c r="H224">
        <v>44.78</v>
      </c>
    </row>
    <row r="225" spans="1:8" x14ac:dyDescent="0.3">
      <c r="A225" t="s">
        <v>248</v>
      </c>
      <c r="B225" s="1">
        <v>45771</v>
      </c>
      <c r="C225" t="s">
        <v>32</v>
      </c>
      <c r="D225" t="s">
        <v>17</v>
      </c>
      <c r="E225" t="s">
        <v>21</v>
      </c>
      <c r="F225">
        <v>6</v>
      </c>
      <c r="G225">
        <v>380.1</v>
      </c>
      <c r="H225">
        <v>36.21</v>
      </c>
    </row>
    <row r="226" spans="1:8" x14ac:dyDescent="0.3">
      <c r="A226" t="s">
        <v>249</v>
      </c>
      <c r="B226" s="1">
        <v>45836</v>
      </c>
      <c r="C226" t="s">
        <v>9</v>
      </c>
      <c r="D226" t="s">
        <v>10</v>
      </c>
      <c r="E226" t="s">
        <v>21</v>
      </c>
      <c r="F226">
        <v>4</v>
      </c>
      <c r="G226">
        <v>752.74</v>
      </c>
      <c r="H226">
        <v>183.51</v>
      </c>
    </row>
    <row r="227" spans="1:8" x14ac:dyDescent="0.3">
      <c r="A227" t="s">
        <v>250</v>
      </c>
      <c r="B227" s="1">
        <v>45710</v>
      </c>
      <c r="C227" t="s">
        <v>23</v>
      </c>
      <c r="D227" t="s">
        <v>17</v>
      </c>
      <c r="E227" t="s">
        <v>11</v>
      </c>
      <c r="F227">
        <v>4</v>
      </c>
      <c r="G227">
        <v>95.12</v>
      </c>
      <c r="H227">
        <v>10.91</v>
      </c>
    </row>
    <row r="228" spans="1:8" x14ac:dyDescent="0.3">
      <c r="A228" t="s">
        <v>251</v>
      </c>
      <c r="B228" s="1">
        <v>45748</v>
      </c>
      <c r="C228" t="s">
        <v>23</v>
      </c>
      <c r="D228" t="s">
        <v>17</v>
      </c>
      <c r="E228" t="s">
        <v>14</v>
      </c>
      <c r="F228">
        <v>2</v>
      </c>
      <c r="G228">
        <v>49.64</v>
      </c>
      <c r="H228">
        <v>9.57</v>
      </c>
    </row>
    <row r="229" spans="1:8" x14ac:dyDescent="0.3">
      <c r="A229" t="s">
        <v>252</v>
      </c>
      <c r="B229" s="1">
        <v>46006</v>
      </c>
      <c r="C229" t="s">
        <v>27</v>
      </c>
      <c r="D229" t="s">
        <v>17</v>
      </c>
      <c r="E229" t="s">
        <v>21</v>
      </c>
      <c r="F229">
        <v>8</v>
      </c>
      <c r="G229">
        <v>257.48</v>
      </c>
      <c r="H229">
        <v>52.9</v>
      </c>
    </row>
    <row r="230" spans="1:8" x14ac:dyDescent="0.3">
      <c r="A230" t="s">
        <v>253</v>
      </c>
      <c r="B230" s="1">
        <v>45692</v>
      </c>
      <c r="C230" t="s">
        <v>23</v>
      </c>
      <c r="D230" t="s">
        <v>17</v>
      </c>
      <c r="E230" t="s">
        <v>14</v>
      </c>
      <c r="F230">
        <v>8</v>
      </c>
      <c r="G230">
        <v>197.69</v>
      </c>
      <c r="H230">
        <v>27.79</v>
      </c>
    </row>
    <row r="231" spans="1:8" x14ac:dyDescent="0.3">
      <c r="A231" t="s">
        <v>254</v>
      </c>
      <c r="B231" s="1">
        <v>45838</v>
      </c>
      <c r="C231" t="s">
        <v>32</v>
      </c>
      <c r="D231" t="s">
        <v>17</v>
      </c>
      <c r="E231" t="s">
        <v>30</v>
      </c>
      <c r="F231">
        <v>1</v>
      </c>
      <c r="G231">
        <v>57.72</v>
      </c>
      <c r="H231">
        <v>9.83</v>
      </c>
    </row>
    <row r="232" spans="1:8" x14ac:dyDescent="0.3">
      <c r="A232" t="s">
        <v>255</v>
      </c>
      <c r="B232" s="1">
        <v>45804</v>
      </c>
      <c r="C232" t="s">
        <v>55</v>
      </c>
      <c r="D232" t="s">
        <v>10</v>
      </c>
      <c r="E232" t="s">
        <v>30</v>
      </c>
      <c r="F232">
        <v>6</v>
      </c>
      <c r="G232">
        <v>4012.84</v>
      </c>
      <c r="H232">
        <v>1105.43</v>
      </c>
    </row>
    <row r="233" spans="1:8" x14ac:dyDescent="0.3">
      <c r="A233" t="s">
        <v>256</v>
      </c>
      <c r="B233" s="1">
        <v>45894</v>
      </c>
      <c r="C233" t="s">
        <v>9</v>
      </c>
      <c r="D233" t="s">
        <v>10</v>
      </c>
      <c r="E233" t="s">
        <v>30</v>
      </c>
      <c r="F233">
        <v>7</v>
      </c>
      <c r="G233">
        <v>1247.33</v>
      </c>
      <c r="H233">
        <v>301.81</v>
      </c>
    </row>
    <row r="234" spans="1:8" x14ac:dyDescent="0.3">
      <c r="A234" t="s">
        <v>257</v>
      </c>
      <c r="B234" s="1">
        <v>45967</v>
      </c>
      <c r="C234" t="s">
        <v>16</v>
      </c>
      <c r="D234" t="s">
        <v>17</v>
      </c>
      <c r="E234" t="s">
        <v>14</v>
      </c>
      <c r="F234">
        <v>6</v>
      </c>
      <c r="G234">
        <v>240.07</v>
      </c>
      <c r="H234">
        <v>65.19</v>
      </c>
    </row>
    <row r="235" spans="1:8" x14ac:dyDescent="0.3">
      <c r="A235" t="s">
        <v>258</v>
      </c>
      <c r="B235" s="1">
        <v>45833</v>
      </c>
      <c r="C235" t="s">
        <v>39</v>
      </c>
      <c r="D235" t="s">
        <v>10</v>
      </c>
      <c r="E235" t="s">
        <v>30</v>
      </c>
      <c r="F235">
        <v>2</v>
      </c>
      <c r="G235">
        <v>320.29000000000002</v>
      </c>
      <c r="H235">
        <v>36.68</v>
      </c>
    </row>
    <row r="236" spans="1:8" x14ac:dyDescent="0.3">
      <c r="A236" t="s">
        <v>259</v>
      </c>
      <c r="B236" s="1">
        <v>45882</v>
      </c>
      <c r="C236" t="s">
        <v>16</v>
      </c>
      <c r="D236" t="s">
        <v>17</v>
      </c>
      <c r="E236" t="s">
        <v>11</v>
      </c>
      <c r="F236">
        <v>8</v>
      </c>
      <c r="G236">
        <v>311.29000000000002</v>
      </c>
      <c r="H236">
        <v>82.05</v>
      </c>
    </row>
    <row r="237" spans="1:8" x14ac:dyDescent="0.3">
      <c r="A237" t="s">
        <v>260</v>
      </c>
      <c r="B237" s="1">
        <v>45831</v>
      </c>
      <c r="C237" t="s">
        <v>19</v>
      </c>
      <c r="D237" t="s">
        <v>20</v>
      </c>
      <c r="E237" t="s">
        <v>30</v>
      </c>
      <c r="F237">
        <v>7</v>
      </c>
      <c r="G237">
        <v>2221.48</v>
      </c>
      <c r="H237">
        <v>465.31</v>
      </c>
    </row>
    <row r="238" spans="1:8" x14ac:dyDescent="0.3">
      <c r="A238" t="s">
        <v>261</v>
      </c>
      <c r="B238" s="1">
        <v>45706</v>
      </c>
      <c r="C238" t="s">
        <v>9</v>
      </c>
      <c r="D238" t="s">
        <v>10</v>
      </c>
      <c r="E238" t="s">
        <v>14</v>
      </c>
      <c r="F238">
        <v>6</v>
      </c>
      <c r="G238">
        <v>1033.3800000000001</v>
      </c>
      <c r="H238">
        <v>232.25</v>
      </c>
    </row>
    <row r="239" spans="1:8" x14ac:dyDescent="0.3">
      <c r="A239" t="s">
        <v>262</v>
      </c>
      <c r="B239" s="1">
        <v>45828</v>
      </c>
      <c r="C239" t="s">
        <v>27</v>
      </c>
      <c r="D239" t="s">
        <v>17</v>
      </c>
      <c r="E239" t="s">
        <v>30</v>
      </c>
      <c r="F239">
        <v>3</v>
      </c>
      <c r="G239">
        <v>91.49</v>
      </c>
      <c r="H239">
        <v>9.91</v>
      </c>
    </row>
    <row r="240" spans="1:8" x14ac:dyDescent="0.3">
      <c r="A240" t="s">
        <v>263</v>
      </c>
      <c r="B240" s="1">
        <v>45993</v>
      </c>
      <c r="C240" t="s">
        <v>25</v>
      </c>
      <c r="D240" t="s">
        <v>20</v>
      </c>
      <c r="E240" t="s">
        <v>14</v>
      </c>
      <c r="F240">
        <v>5</v>
      </c>
      <c r="G240">
        <v>1018.37</v>
      </c>
      <c r="H240">
        <v>225.84</v>
      </c>
    </row>
    <row r="241" spans="1:8" x14ac:dyDescent="0.3">
      <c r="A241" t="s">
        <v>264</v>
      </c>
      <c r="B241" s="1">
        <v>45944</v>
      </c>
      <c r="C241" t="s">
        <v>9</v>
      </c>
      <c r="D241" t="s">
        <v>10</v>
      </c>
      <c r="E241" t="s">
        <v>14</v>
      </c>
      <c r="F241">
        <v>5</v>
      </c>
      <c r="G241">
        <v>925.83</v>
      </c>
      <c r="H241">
        <v>134.88999999999999</v>
      </c>
    </row>
    <row r="242" spans="1:8" x14ac:dyDescent="0.3">
      <c r="A242" t="s">
        <v>265</v>
      </c>
      <c r="B242" s="1">
        <v>45988</v>
      </c>
      <c r="C242" t="s">
        <v>23</v>
      </c>
      <c r="D242" t="s">
        <v>17</v>
      </c>
      <c r="E242" t="s">
        <v>14</v>
      </c>
      <c r="F242">
        <v>2</v>
      </c>
      <c r="G242">
        <v>50.08</v>
      </c>
      <c r="H242">
        <v>4.1900000000000004</v>
      </c>
    </row>
    <row r="243" spans="1:8" x14ac:dyDescent="0.3">
      <c r="A243" t="s">
        <v>266</v>
      </c>
      <c r="B243" s="1">
        <v>45767</v>
      </c>
      <c r="C243" t="s">
        <v>32</v>
      </c>
      <c r="D243" t="s">
        <v>17</v>
      </c>
      <c r="E243" t="s">
        <v>21</v>
      </c>
      <c r="F243">
        <v>3</v>
      </c>
      <c r="G243">
        <v>196.12</v>
      </c>
      <c r="H243">
        <v>34.76</v>
      </c>
    </row>
    <row r="244" spans="1:8" x14ac:dyDescent="0.3">
      <c r="A244" t="s">
        <v>267</v>
      </c>
      <c r="B244" s="1">
        <v>45737</v>
      </c>
      <c r="C244" t="s">
        <v>16</v>
      </c>
      <c r="D244" t="s">
        <v>17</v>
      </c>
      <c r="E244" t="s">
        <v>30</v>
      </c>
      <c r="F244">
        <v>3</v>
      </c>
      <c r="G244">
        <v>115.1</v>
      </c>
      <c r="H244">
        <v>27.35</v>
      </c>
    </row>
    <row r="245" spans="1:8" x14ac:dyDescent="0.3">
      <c r="A245" t="s">
        <v>268</v>
      </c>
      <c r="B245" s="1">
        <v>45996</v>
      </c>
      <c r="C245" t="s">
        <v>13</v>
      </c>
      <c r="D245" t="s">
        <v>10</v>
      </c>
      <c r="E245" t="s">
        <v>21</v>
      </c>
      <c r="F245">
        <v>1</v>
      </c>
      <c r="G245">
        <v>80.650000000000006</v>
      </c>
      <c r="H245">
        <v>16.420000000000002</v>
      </c>
    </row>
    <row r="246" spans="1:8" x14ac:dyDescent="0.3">
      <c r="A246" t="s">
        <v>269</v>
      </c>
      <c r="B246" s="1">
        <v>45736</v>
      </c>
      <c r="C246" t="s">
        <v>27</v>
      </c>
      <c r="D246" t="s">
        <v>17</v>
      </c>
      <c r="E246" t="s">
        <v>11</v>
      </c>
      <c r="F246">
        <v>7</v>
      </c>
      <c r="G246">
        <v>196.6</v>
      </c>
      <c r="H246">
        <v>42.97</v>
      </c>
    </row>
    <row r="247" spans="1:8" x14ac:dyDescent="0.3">
      <c r="A247" t="s">
        <v>270</v>
      </c>
      <c r="B247" s="1">
        <v>45882</v>
      </c>
      <c r="C247" t="s">
        <v>27</v>
      </c>
      <c r="D247" t="s">
        <v>17</v>
      </c>
      <c r="E247" t="s">
        <v>30</v>
      </c>
      <c r="F247">
        <v>3</v>
      </c>
      <c r="G247">
        <v>88.4</v>
      </c>
      <c r="H247">
        <v>19.03</v>
      </c>
    </row>
    <row r="248" spans="1:8" x14ac:dyDescent="0.3">
      <c r="A248" t="s">
        <v>271</v>
      </c>
      <c r="B248" s="1">
        <v>45970</v>
      </c>
      <c r="C248" t="s">
        <v>16</v>
      </c>
      <c r="D248" t="s">
        <v>17</v>
      </c>
      <c r="E248" t="s">
        <v>21</v>
      </c>
      <c r="F248">
        <v>8</v>
      </c>
      <c r="G248">
        <v>336.15</v>
      </c>
      <c r="H248">
        <v>79.59</v>
      </c>
    </row>
    <row r="249" spans="1:8" x14ac:dyDescent="0.3">
      <c r="A249" t="s">
        <v>272</v>
      </c>
      <c r="B249" s="1">
        <v>45816</v>
      </c>
      <c r="C249" t="s">
        <v>16</v>
      </c>
      <c r="D249" t="s">
        <v>17</v>
      </c>
      <c r="E249" t="s">
        <v>14</v>
      </c>
      <c r="F249">
        <v>4</v>
      </c>
      <c r="G249">
        <v>172.93</v>
      </c>
      <c r="H249">
        <v>20.54</v>
      </c>
    </row>
    <row r="250" spans="1:8" x14ac:dyDescent="0.3">
      <c r="A250" t="s">
        <v>273</v>
      </c>
      <c r="B250" s="1">
        <v>45894</v>
      </c>
      <c r="C250" t="s">
        <v>27</v>
      </c>
      <c r="D250" t="s">
        <v>17</v>
      </c>
      <c r="E250" t="s">
        <v>21</v>
      </c>
      <c r="F250">
        <v>8</v>
      </c>
      <c r="G250">
        <v>253.35</v>
      </c>
      <c r="H250">
        <v>45.75</v>
      </c>
    </row>
    <row r="251" spans="1:8" x14ac:dyDescent="0.3">
      <c r="A251" t="s">
        <v>274</v>
      </c>
      <c r="B251" s="1">
        <v>45760</v>
      </c>
      <c r="C251" t="s">
        <v>19</v>
      </c>
      <c r="D251" t="s">
        <v>20</v>
      </c>
      <c r="E251" t="s">
        <v>11</v>
      </c>
      <c r="F251">
        <v>3</v>
      </c>
      <c r="G251">
        <v>967.14</v>
      </c>
      <c r="H251">
        <v>87.46</v>
      </c>
    </row>
    <row r="252" spans="1:8" x14ac:dyDescent="0.3">
      <c r="A252" t="s">
        <v>275</v>
      </c>
      <c r="B252" s="1">
        <v>45941</v>
      </c>
      <c r="C252" t="s">
        <v>39</v>
      </c>
      <c r="D252" t="s">
        <v>10</v>
      </c>
      <c r="E252" t="s">
        <v>30</v>
      </c>
      <c r="F252">
        <v>6</v>
      </c>
      <c r="G252">
        <v>1000.59</v>
      </c>
      <c r="H252">
        <v>183.29</v>
      </c>
    </row>
    <row r="253" spans="1:8" x14ac:dyDescent="0.3">
      <c r="A253" t="s">
        <v>276</v>
      </c>
      <c r="B253" s="1">
        <v>45700</v>
      </c>
      <c r="C253" t="s">
        <v>9</v>
      </c>
      <c r="D253" t="s">
        <v>10</v>
      </c>
      <c r="E253" t="s">
        <v>11</v>
      </c>
      <c r="F253">
        <v>5</v>
      </c>
      <c r="G253">
        <v>859.1</v>
      </c>
      <c r="H253">
        <v>224.28</v>
      </c>
    </row>
    <row r="254" spans="1:8" x14ac:dyDescent="0.3">
      <c r="A254" t="s">
        <v>277</v>
      </c>
      <c r="B254" s="1">
        <v>45704</v>
      </c>
      <c r="C254" t="s">
        <v>23</v>
      </c>
      <c r="D254" t="s">
        <v>17</v>
      </c>
      <c r="E254" t="s">
        <v>11</v>
      </c>
      <c r="F254">
        <v>7</v>
      </c>
      <c r="G254">
        <v>186.08</v>
      </c>
      <c r="H254">
        <v>47.81</v>
      </c>
    </row>
    <row r="255" spans="1:8" x14ac:dyDescent="0.3">
      <c r="A255" t="s">
        <v>278</v>
      </c>
      <c r="B255" s="1">
        <v>45685</v>
      </c>
      <c r="C255" t="s">
        <v>55</v>
      </c>
      <c r="D255" t="s">
        <v>10</v>
      </c>
      <c r="E255" t="s">
        <v>14</v>
      </c>
      <c r="F255">
        <v>7</v>
      </c>
      <c r="G255">
        <v>4551.83</v>
      </c>
      <c r="H255">
        <v>578.79</v>
      </c>
    </row>
    <row r="256" spans="1:8" x14ac:dyDescent="0.3">
      <c r="A256" t="s">
        <v>279</v>
      </c>
      <c r="B256" s="1">
        <v>45772</v>
      </c>
      <c r="C256" t="s">
        <v>9</v>
      </c>
      <c r="D256" t="s">
        <v>10</v>
      </c>
      <c r="E256" t="s">
        <v>30</v>
      </c>
      <c r="F256">
        <v>6</v>
      </c>
      <c r="G256">
        <v>1040.8399999999999</v>
      </c>
      <c r="H256">
        <v>103.89</v>
      </c>
    </row>
    <row r="257" spans="1:8" x14ac:dyDescent="0.3">
      <c r="A257" t="s">
        <v>280</v>
      </c>
      <c r="B257" s="1">
        <v>45728</v>
      </c>
      <c r="C257" t="s">
        <v>25</v>
      </c>
      <c r="D257" t="s">
        <v>20</v>
      </c>
      <c r="E257" t="s">
        <v>30</v>
      </c>
      <c r="F257">
        <v>3</v>
      </c>
      <c r="G257">
        <v>631.87</v>
      </c>
      <c r="H257">
        <v>155.41</v>
      </c>
    </row>
    <row r="258" spans="1:8" x14ac:dyDescent="0.3">
      <c r="A258" t="s">
        <v>281</v>
      </c>
      <c r="B258" s="1">
        <v>45887</v>
      </c>
      <c r="C258" t="s">
        <v>23</v>
      </c>
      <c r="D258" t="s">
        <v>17</v>
      </c>
      <c r="E258" t="s">
        <v>30</v>
      </c>
      <c r="F258">
        <v>8</v>
      </c>
      <c r="G258">
        <v>216.23</v>
      </c>
      <c r="H258">
        <v>18.12</v>
      </c>
    </row>
    <row r="259" spans="1:8" x14ac:dyDescent="0.3">
      <c r="A259" t="s">
        <v>282</v>
      </c>
      <c r="B259" s="1">
        <v>45938</v>
      </c>
      <c r="C259" t="s">
        <v>16</v>
      </c>
      <c r="D259" t="s">
        <v>17</v>
      </c>
      <c r="E259" t="s">
        <v>14</v>
      </c>
      <c r="F259">
        <v>3</v>
      </c>
      <c r="G259">
        <v>110.67</v>
      </c>
      <c r="H259">
        <v>15.23</v>
      </c>
    </row>
    <row r="260" spans="1:8" x14ac:dyDescent="0.3">
      <c r="A260" t="s">
        <v>283</v>
      </c>
      <c r="B260" s="1">
        <v>45682</v>
      </c>
      <c r="C260" t="s">
        <v>32</v>
      </c>
      <c r="D260" t="s">
        <v>17</v>
      </c>
      <c r="E260" t="s">
        <v>11</v>
      </c>
      <c r="F260">
        <v>2</v>
      </c>
      <c r="G260">
        <v>118.08</v>
      </c>
      <c r="H260">
        <v>28.2</v>
      </c>
    </row>
    <row r="261" spans="1:8" x14ac:dyDescent="0.3">
      <c r="A261" t="s">
        <v>284</v>
      </c>
      <c r="B261" s="1">
        <v>45714</v>
      </c>
      <c r="C261" t="s">
        <v>39</v>
      </c>
      <c r="D261" t="s">
        <v>10</v>
      </c>
      <c r="E261" t="s">
        <v>14</v>
      </c>
      <c r="F261">
        <v>2</v>
      </c>
      <c r="G261">
        <v>326.19</v>
      </c>
      <c r="H261">
        <v>27.17</v>
      </c>
    </row>
    <row r="262" spans="1:8" x14ac:dyDescent="0.3">
      <c r="A262" t="s">
        <v>285</v>
      </c>
      <c r="B262" s="1">
        <v>45731</v>
      </c>
      <c r="C262" t="s">
        <v>13</v>
      </c>
      <c r="D262" t="s">
        <v>10</v>
      </c>
      <c r="E262" t="s">
        <v>21</v>
      </c>
      <c r="F262">
        <v>4</v>
      </c>
      <c r="G262">
        <v>295.75</v>
      </c>
      <c r="H262">
        <v>60.03</v>
      </c>
    </row>
    <row r="263" spans="1:8" x14ac:dyDescent="0.3">
      <c r="A263" t="s">
        <v>286</v>
      </c>
      <c r="B263" s="1">
        <v>45753</v>
      </c>
      <c r="C263" t="s">
        <v>16</v>
      </c>
      <c r="D263" t="s">
        <v>17</v>
      </c>
      <c r="E263" t="s">
        <v>30</v>
      </c>
      <c r="F263">
        <v>7</v>
      </c>
      <c r="G263">
        <v>281.32</v>
      </c>
      <c r="H263">
        <v>42.79</v>
      </c>
    </row>
    <row r="264" spans="1:8" x14ac:dyDescent="0.3">
      <c r="A264" t="s">
        <v>287</v>
      </c>
      <c r="B264" s="1">
        <v>45857</v>
      </c>
      <c r="C264" t="s">
        <v>13</v>
      </c>
      <c r="D264" t="s">
        <v>10</v>
      </c>
      <c r="E264" t="s">
        <v>14</v>
      </c>
      <c r="F264">
        <v>1</v>
      </c>
      <c r="G264">
        <v>68.150000000000006</v>
      </c>
      <c r="H264">
        <v>10.73</v>
      </c>
    </row>
    <row r="265" spans="1:8" x14ac:dyDescent="0.3">
      <c r="A265" t="s">
        <v>288</v>
      </c>
      <c r="B265" s="1">
        <v>45666</v>
      </c>
      <c r="C265" t="s">
        <v>25</v>
      </c>
      <c r="D265" t="s">
        <v>20</v>
      </c>
      <c r="E265" t="s">
        <v>21</v>
      </c>
      <c r="F265">
        <v>5</v>
      </c>
      <c r="G265">
        <v>1163.47</v>
      </c>
      <c r="H265">
        <v>173.31</v>
      </c>
    </row>
    <row r="266" spans="1:8" x14ac:dyDescent="0.3">
      <c r="A266" t="s">
        <v>289</v>
      </c>
      <c r="B266" s="1">
        <v>45726</v>
      </c>
      <c r="C266" t="s">
        <v>9</v>
      </c>
      <c r="D266" t="s">
        <v>10</v>
      </c>
      <c r="E266" t="s">
        <v>30</v>
      </c>
      <c r="F266">
        <v>6</v>
      </c>
      <c r="G266">
        <v>1048.0999999999999</v>
      </c>
      <c r="H266">
        <v>154.81</v>
      </c>
    </row>
    <row r="267" spans="1:8" x14ac:dyDescent="0.3">
      <c r="A267" t="s">
        <v>290</v>
      </c>
      <c r="B267" s="1">
        <v>46014</v>
      </c>
      <c r="C267" t="s">
        <v>23</v>
      </c>
      <c r="D267" t="s">
        <v>17</v>
      </c>
      <c r="E267" t="s">
        <v>14</v>
      </c>
      <c r="F267">
        <v>8</v>
      </c>
      <c r="G267">
        <v>205.27</v>
      </c>
      <c r="H267">
        <v>49.74</v>
      </c>
    </row>
    <row r="268" spans="1:8" x14ac:dyDescent="0.3">
      <c r="A268" t="s">
        <v>291</v>
      </c>
      <c r="B268" s="1">
        <v>45676</v>
      </c>
      <c r="C268" t="s">
        <v>9</v>
      </c>
      <c r="D268" t="s">
        <v>10</v>
      </c>
      <c r="E268" t="s">
        <v>21</v>
      </c>
      <c r="F268">
        <v>8</v>
      </c>
      <c r="G268">
        <v>1354.06</v>
      </c>
      <c r="H268">
        <v>322.57</v>
      </c>
    </row>
    <row r="269" spans="1:8" x14ac:dyDescent="0.3">
      <c r="A269" t="s">
        <v>292</v>
      </c>
      <c r="B269" s="1">
        <v>45816</v>
      </c>
      <c r="C269" t="s">
        <v>55</v>
      </c>
      <c r="D269" t="s">
        <v>10</v>
      </c>
      <c r="E269" t="s">
        <v>14</v>
      </c>
      <c r="F269">
        <v>6</v>
      </c>
      <c r="G269">
        <v>4281.5200000000004</v>
      </c>
      <c r="H269">
        <v>807.52</v>
      </c>
    </row>
    <row r="270" spans="1:8" x14ac:dyDescent="0.3">
      <c r="A270" t="s">
        <v>293</v>
      </c>
      <c r="B270" s="1">
        <v>45989</v>
      </c>
      <c r="C270" t="s">
        <v>32</v>
      </c>
      <c r="D270" t="s">
        <v>17</v>
      </c>
      <c r="E270" t="s">
        <v>11</v>
      </c>
      <c r="F270">
        <v>1</v>
      </c>
      <c r="G270">
        <v>57.43</v>
      </c>
      <c r="H270">
        <v>14.5</v>
      </c>
    </row>
    <row r="271" spans="1:8" x14ac:dyDescent="0.3">
      <c r="A271" t="s">
        <v>294</v>
      </c>
      <c r="B271" s="1">
        <v>45797</v>
      </c>
      <c r="C271" t="s">
        <v>55</v>
      </c>
      <c r="D271" t="s">
        <v>10</v>
      </c>
      <c r="E271" t="s">
        <v>30</v>
      </c>
      <c r="F271">
        <v>6</v>
      </c>
      <c r="G271">
        <v>4133.49</v>
      </c>
      <c r="H271">
        <v>691.91</v>
      </c>
    </row>
    <row r="272" spans="1:8" x14ac:dyDescent="0.3">
      <c r="A272" t="s">
        <v>295</v>
      </c>
      <c r="B272" s="1">
        <v>45855</v>
      </c>
      <c r="C272" t="s">
        <v>19</v>
      </c>
      <c r="D272" t="s">
        <v>20</v>
      </c>
      <c r="E272" t="s">
        <v>21</v>
      </c>
      <c r="F272">
        <v>8</v>
      </c>
      <c r="G272">
        <v>2627.39</v>
      </c>
      <c r="H272">
        <v>470.94</v>
      </c>
    </row>
    <row r="273" spans="1:8" x14ac:dyDescent="0.3">
      <c r="A273" t="s">
        <v>296</v>
      </c>
      <c r="B273" s="1">
        <v>45923</v>
      </c>
      <c r="C273" t="s">
        <v>39</v>
      </c>
      <c r="D273" t="s">
        <v>10</v>
      </c>
      <c r="E273" t="s">
        <v>21</v>
      </c>
      <c r="F273">
        <v>6</v>
      </c>
      <c r="G273">
        <v>1017.82</v>
      </c>
      <c r="H273">
        <v>229.43</v>
      </c>
    </row>
    <row r="274" spans="1:8" x14ac:dyDescent="0.3">
      <c r="A274" t="s">
        <v>297</v>
      </c>
      <c r="B274" s="1">
        <v>45966</v>
      </c>
      <c r="C274" t="s">
        <v>9</v>
      </c>
      <c r="D274" t="s">
        <v>10</v>
      </c>
      <c r="E274" t="s">
        <v>11</v>
      </c>
      <c r="F274">
        <v>7</v>
      </c>
      <c r="G274">
        <v>1271.46</v>
      </c>
      <c r="H274">
        <v>183.4</v>
      </c>
    </row>
    <row r="275" spans="1:8" x14ac:dyDescent="0.3">
      <c r="A275" t="s">
        <v>298</v>
      </c>
      <c r="B275" s="1">
        <v>45996</v>
      </c>
      <c r="C275" t="s">
        <v>9</v>
      </c>
      <c r="D275" t="s">
        <v>10</v>
      </c>
      <c r="E275" t="s">
        <v>21</v>
      </c>
      <c r="F275">
        <v>6</v>
      </c>
      <c r="G275">
        <v>1038.2</v>
      </c>
      <c r="H275">
        <v>208.18</v>
      </c>
    </row>
    <row r="276" spans="1:8" x14ac:dyDescent="0.3">
      <c r="A276" t="s">
        <v>299</v>
      </c>
      <c r="B276" s="1">
        <v>46011</v>
      </c>
      <c r="C276" t="s">
        <v>19</v>
      </c>
      <c r="D276" t="s">
        <v>20</v>
      </c>
      <c r="E276" t="s">
        <v>14</v>
      </c>
      <c r="F276">
        <v>3</v>
      </c>
      <c r="G276">
        <v>873.28</v>
      </c>
      <c r="H276">
        <v>77.260000000000005</v>
      </c>
    </row>
    <row r="277" spans="1:8" x14ac:dyDescent="0.3">
      <c r="A277" t="s">
        <v>300</v>
      </c>
      <c r="B277" s="1">
        <v>45798</v>
      </c>
      <c r="C277" t="s">
        <v>25</v>
      </c>
      <c r="D277" t="s">
        <v>20</v>
      </c>
      <c r="E277" t="s">
        <v>30</v>
      </c>
      <c r="F277">
        <v>7</v>
      </c>
      <c r="G277">
        <v>1409.11</v>
      </c>
      <c r="H277">
        <v>292.39</v>
      </c>
    </row>
    <row r="278" spans="1:8" x14ac:dyDescent="0.3">
      <c r="A278" t="s">
        <v>301</v>
      </c>
      <c r="B278" s="1">
        <v>45673</v>
      </c>
      <c r="C278" t="s">
        <v>25</v>
      </c>
      <c r="D278" t="s">
        <v>20</v>
      </c>
      <c r="E278" t="s">
        <v>11</v>
      </c>
      <c r="F278">
        <v>3</v>
      </c>
      <c r="G278">
        <v>706.02</v>
      </c>
      <c r="H278">
        <v>152.22999999999999</v>
      </c>
    </row>
    <row r="279" spans="1:8" x14ac:dyDescent="0.3">
      <c r="A279" t="s">
        <v>302</v>
      </c>
      <c r="B279" s="1">
        <v>45722</v>
      </c>
      <c r="C279" t="s">
        <v>39</v>
      </c>
      <c r="D279" t="s">
        <v>10</v>
      </c>
      <c r="E279" t="s">
        <v>30</v>
      </c>
      <c r="F279">
        <v>1</v>
      </c>
      <c r="G279">
        <v>151.55000000000001</v>
      </c>
      <c r="H279">
        <v>31.68</v>
      </c>
    </row>
    <row r="280" spans="1:8" x14ac:dyDescent="0.3">
      <c r="A280" t="s">
        <v>303</v>
      </c>
      <c r="B280" s="1">
        <v>45948</v>
      </c>
      <c r="C280" t="s">
        <v>25</v>
      </c>
      <c r="D280" t="s">
        <v>20</v>
      </c>
      <c r="E280" t="s">
        <v>30</v>
      </c>
      <c r="F280">
        <v>7</v>
      </c>
      <c r="G280">
        <v>1572.37</v>
      </c>
      <c r="H280">
        <v>339.34</v>
      </c>
    </row>
    <row r="281" spans="1:8" x14ac:dyDescent="0.3">
      <c r="A281" t="s">
        <v>304</v>
      </c>
      <c r="B281" s="1">
        <v>45885</v>
      </c>
      <c r="C281" t="s">
        <v>25</v>
      </c>
      <c r="D281" t="s">
        <v>20</v>
      </c>
      <c r="E281" t="s">
        <v>30</v>
      </c>
      <c r="F281">
        <v>6</v>
      </c>
      <c r="G281">
        <v>1339.52</v>
      </c>
      <c r="H281">
        <v>249.01</v>
      </c>
    </row>
    <row r="282" spans="1:8" x14ac:dyDescent="0.3">
      <c r="A282" t="s">
        <v>305</v>
      </c>
      <c r="B282" s="1">
        <v>45990</v>
      </c>
      <c r="C282" t="s">
        <v>19</v>
      </c>
      <c r="D282" t="s">
        <v>20</v>
      </c>
      <c r="E282" t="s">
        <v>21</v>
      </c>
      <c r="F282">
        <v>6</v>
      </c>
      <c r="G282">
        <v>1709.86</v>
      </c>
      <c r="H282">
        <v>175.59</v>
      </c>
    </row>
    <row r="283" spans="1:8" x14ac:dyDescent="0.3">
      <c r="A283" t="s">
        <v>306</v>
      </c>
      <c r="B283" s="1">
        <v>45923</v>
      </c>
      <c r="C283" t="s">
        <v>23</v>
      </c>
      <c r="D283" t="s">
        <v>17</v>
      </c>
      <c r="E283" t="s">
        <v>14</v>
      </c>
      <c r="F283">
        <v>8</v>
      </c>
      <c r="G283">
        <v>216.54</v>
      </c>
      <c r="H283">
        <v>22.42</v>
      </c>
    </row>
    <row r="284" spans="1:8" x14ac:dyDescent="0.3">
      <c r="A284" t="s">
        <v>307</v>
      </c>
      <c r="B284" s="1">
        <v>45767</v>
      </c>
      <c r="C284" t="s">
        <v>32</v>
      </c>
      <c r="D284" t="s">
        <v>17</v>
      </c>
      <c r="E284" t="s">
        <v>21</v>
      </c>
      <c r="F284">
        <v>8</v>
      </c>
      <c r="G284">
        <v>498.62</v>
      </c>
      <c r="H284">
        <v>139.47999999999999</v>
      </c>
    </row>
    <row r="285" spans="1:8" x14ac:dyDescent="0.3">
      <c r="A285" t="s">
        <v>308</v>
      </c>
      <c r="B285" s="1">
        <v>45727</v>
      </c>
      <c r="C285" t="s">
        <v>16</v>
      </c>
      <c r="D285" t="s">
        <v>17</v>
      </c>
      <c r="E285" t="s">
        <v>30</v>
      </c>
      <c r="F285">
        <v>2</v>
      </c>
      <c r="G285">
        <v>79.23</v>
      </c>
      <c r="H285">
        <v>20.58</v>
      </c>
    </row>
    <row r="286" spans="1:8" x14ac:dyDescent="0.3">
      <c r="A286" t="s">
        <v>309</v>
      </c>
      <c r="B286" s="1">
        <v>46007</v>
      </c>
      <c r="C286" t="s">
        <v>39</v>
      </c>
      <c r="D286" t="s">
        <v>10</v>
      </c>
      <c r="E286" t="s">
        <v>21</v>
      </c>
      <c r="F286">
        <v>2</v>
      </c>
      <c r="G286">
        <v>330.74</v>
      </c>
      <c r="H286">
        <v>73.39</v>
      </c>
    </row>
    <row r="287" spans="1:8" x14ac:dyDescent="0.3">
      <c r="A287" t="s">
        <v>310</v>
      </c>
      <c r="B287" s="1">
        <v>45811</v>
      </c>
      <c r="C287" t="s">
        <v>13</v>
      </c>
      <c r="D287" t="s">
        <v>10</v>
      </c>
      <c r="E287" t="s">
        <v>11</v>
      </c>
      <c r="F287">
        <v>5</v>
      </c>
      <c r="G287">
        <v>390.89</v>
      </c>
      <c r="H287">
        <v>103.77</v>
      </c>
    </row>
    <row r="288" spans="1:8" x14ac:dyDescent="0.3">
      <c r="A288" t="s">
        <v>311</v>
      </c>
      <c r="B288" s="1">
        <v>45918</v>
      </c>
      <c r="C288" t="s">
        <v>23</v>
      </c>
      <c r="D288" t="s">
        <v>17</v>
      </c>
      <c r="E288" t="s">
        <v>11</v>
      </c>
      <c r="F288">
        <v>6</v>
      </c>
      <c r="G288">
        <v>138.63999999999999</v>
      </c>
      <c r="H288">
        <v>16.66</v>
      </c>
    </row>
    <row r="289" spans="1:8" x14ac:dyDescent="0.3">
      <c r="A289" t="s">
        <v>312</v>
      </c>
      <c r="B289" s="1">
        <v>45910</v>
      </c>
      <c r="C289" t="s">
        <v>23</v>
      </c>
      <c r="D289" t="s">
        <v>17</v>
      </c>
      <c r="E289" t="s">
        <v>30</v>
      </c>
      <c r="F289">
        <v>4</v>
      </c>
      <c r="G289">
        <v>97.22</v>
      </c>
      <c r="H289">
        <v>18.899999999999999</v>
      </c>
    </row>
    <row r="290" spans="1:8" x14ac:dyDescent="0.3">
      <c r="A290" t="s">
        <v>313</v>
      </c>
      <c r="B290" s="1">
        <v>45971</v>
      </c>
      <c r="C290" t="s">
        <v>39</v>
      </c>
      <c r="D290" t="s">
        <v>10</v>
      </c>
      <c r="E290" t="s">
        <v>30</v>
      </c>
      <c r="F290">
        <v>3</v>
      </c>
      <c r="G290">
        <v>438.31</v>
      </c>
      <c r="H290">
        <v>69.97</v>
      </c>
    </row>
    <row r="291" spans="1:8" x14ac:dyDescent="0.3">
      <c r="A291" t="s">
        <v>314</v>
      </c>
      <c r="B291" s="1">
        <v>45867</v>
      </c>
      <c r="C291" t="s">
        <v>39</v>
      </c>
      <c r="D291" t="s">
        <v>10</v>
      </c>
      <c r="E291" t="s">
        <v>30</v>
      </c>
      <c r="F291">
        <v>7</v>
      </c>
      <c r="G291">
        <v>1036.07</v>
      </c>
      <c r="H291">
        <v>148.58000000000001</v>
      </c>
    </row>
    <row r="292" spans="1:8" x14ac:dyDescent="0.3">
      <c r="A292" t="s">
        <v>315</v>
      </c>
      <c r="B292" s="1">
        <v>45896</v>
      </c>
      <c r="C292" t="s">
        <v>9</v>
      </c>
      <c r="D292" t="s">
        <v>10</v>
      </c>
      <c r="E292" t="s">
        <v>21</v>
      </c>
      <c r="F292">
        <v>8</v>
      </c>
      <c r="G292">
        <v>1332.96</v>
      </c>
      <c r="H292">
        <v>327.66000000000003</v>
      </c>
    </row>
    <row r="293" spans="1:8" x14ac:dyDescent="0.3">
      <c r="A293" t="s">
        <v>316</v>
      </c>
      <c r="B293" s="1">
        <v>45724</v>
      </c>
      <c r="C293" t="s">
        <v>13</v>
      </c>
      <c r="D293" t="s">
        <v>10</v>
      </c>
      <c r="E293" t="s">
        <v>14</v>
      </c>
      <c r="F293">
        <v>3</v>
      </c>
      <c r="G293">
        <v>225.13</v>
      </c>
      <c r="H293">
        <v>57.1</v>
      </c>
    </row>
    <row r="294" spans="1:8" x14ac:dyDescent="0.3">
      <c r="A294" t="s">
        <v>317</v>
      </c>
      <c r="B294" s="1">
        <v>45813</v>
      </c>
      <c r="C294" t="s">
        <v>9</v>
      </c>
      <c r="D294" t="s">
        <v>10</v>
      </c>
      <c r="E294" t="s">
        <v>11</v>
      </c>
      <c r="F294">
        <v>3</v>
      </c>
      <c r="G294">
        <v>503.49</v>
      </c>
      <c r="H294">
        <v>134.41</v>
      </c>
    </row>
    <row r="295" spans="1:8" x14ac:dyDescent="0.3">
      <c r="A295" t="s">
        <v>318</v>
      </c>
      <c r="B295" s="1">
        <v>45923</v>
      </c>
      <c r="C295" t="s">
        <v>16</v>
      </c>
      <c r="D295" t="s">
        <v>17</v>
      </c>
      <c r="E295" t="s">
        <v>21</v>
      </c>
      <c r="F295">
        <v>6</v>
      </c>
      <c r="G295">
        <v>256.60000000000002</v>
      </c>
      <c r="H295">
        <v>33.39</v>
      </c>
    </row>
    <row r="296" spans="1:8" x14ac:dyDescent="0.3">
      <c r="A296" t="s">
        <v>319</v>
      </c>
      <c r="B296" s="1">
        <v>45722</v>
      </c>
      <c r="C296" t="s">
        <v>13</v>
      </c>
      <c r="D296" t="s">
        <v>10</v>
      </c>
      <c r="E296" t="s">
        <v>21</v>
      </c>
      <c r="F296">
        <v>5</v>
      </c>
      <c r="G296">
        <v>383.58</v>
      </c>
      <c r="H296">
        <v>37.85</v>
      </c>
    </row>
    <row r="297" spans="1:8" x14ac:dyDescent="0.3">
      <c r="A297" t="s">
        <v>320</v>
      </c>
      <c r="B297" s="1">
        <v>45745</v>
      </c>
      <c r="C297" t="s">
        <v>23</v>
      </c>
      <c r="D297" t="s">
        <v>17</v>
      </c>
      <c r="E297" t="s">
        <v>21</v>
      </c>
      <c r="F297">
        <v>3</v>
      </c>
      <c r="G297">
        <v>80.14</v>
      </c>
      <c r="H297">
        <v>15.44</v>
      </c>
    </row>
    <row r="298" spans="1:8" x14ac:dyDescent="0.3">
      <c r="A298" t="s">
        <v>321</v>
      </c>
      <c r="B298" s="1">
        <v>45681</v>
      </c>
      <c r="C298" t="s">
        <v>55</v>
      </c>
      <c r="D298" t="s">
        <v>10</v>
      </c>
      <c r="E298" t="s">
        <v>21</v>
      </c>
      <c r="F298">
        <v>2</v>
      </c>
      <c r="G298">
        <v>1339.29</v>
      </c>
      <c r="H298">
        <v>312.58</v>
      </c>
    </row>
    <row r="299" spans="1:8" x14ac:dyDescent="0.3">
      <c r="A299" t="s">
        <v>322</v>
      </c>
      <c r="B299" s="1">
        <v>45912</v>
      </c>
      <c r="C299" t="s">
        <v>19</v>
      </c>
      <c r="D299" t="s">
        <v>20</v>
      </c>
      <c r="E299" t="s">
        <v>21</v>
      </c>
      <c r="F299">
        <v>1</v>
      </c>
      <c r="G299">
        <v>308.51</v>
      </c>
      <c r="H299">
        <v>43.32</v>
      </c>
    </row>
    <row r="300" spans="1:8" x14ac:dyDescent="0.3">
      <c r="A300" t="s">
        <v>323</v>
      </c>
      <c r="B300" s="1">
        <v>45810</v>
      </c>
      <c r="C300" t="s">
        <v>16</v>
      </c>
      <c r="D300" t="s">
        <v>17</v>
      </c>
      <c r="E300" t="s">
        <v>14</v>
      </c>
      <c r="F300">
        <v>7</v>
      </c>
      <c r="G300">
        <v>256.08999999999997</v>
      </c>
      <c r="H300">
        <v>23.56</v>
      </c>
    </row>
    <row r="301" spans="1:8" x14ac:dyDescent="0.3">
      <c r="A301" t="s">
        <v>324</v>
      </c>
      <c r="B301" s="1">
        <v>45905</v>
      </c>
      <c r="C301" t="s">
        <v>39</v>
      </c>
      <c r="D301" t="s">
        <v>10</v>
      </c>
      <c r="E301" t="s">
        <v>14</v>
      </c>
      <c r="F301">
        <v>7</v>
      </c>
      <c r="G301">
        <v>1053.7</v>
      </c>
      <c r="H301">
        <v>212.14</v>
      </c>
    </row>
    <row r="302" spans="1:8" x14ac:dyDescent="0.3">
      <c r="A302" t="s">
        <v>325</v>
      </c>
      <c r="B302" s="1">
        <v>45834</v>
      </c>
      <c r="C302" t="s">
        <v>25</v>
      </c>
      <c r="D302" t="s">
        <v>20</v>
      </c>
      <c r="E302" t="s">
        <v>14</v>
      </c>
      <c r="F302">
        <v>6</v>
      </c>
      <c r="G302">
        <v>1222.52</v>
      </c>
      <c r="H302">
        <v>188.4</v>
      </c>
    </row>
    <row r="303" spans="1:8" x14ac:dyDescent="0.3">
      <c r="A303" t="s">
        <v>326</v>
      </c>
      <c r="B303" s="1">
        <v>45821</v>
      </c>
      <c r="C303" t="s">
        <v>13</v>
      </c>
      <c r="D303" t="s">
        <v>10</v>
      </c>
      <c r="E303" t="s">
        <v>11</v>
      </c>
      <c r="F303">
        <v>2</v>
      </c>
      <c r="G303">
        <v>148.99</v>
      </c>
      <c r="H303">
        <v>19.89</v>
      </c>
    </row>
    <row r="304" spans="1:8" x14ac:dyDescent="0.3">
      <c r="A304" t="s">
        <v>327</v>
      </c>
      <c r="B304" s="1">
        <v>45707</v>
      </c>
      <c r="C304" t="s">
        <v>16</v>
      </c>
      <c r="D304" t="s">
        <v>17</v>
      </c>
      <c r="E304" t="s">
        <v>30</v>
      </c>
      <c r="F304">
        <v>3</v>
      </c>
      <c r="G304">
        <v>114.97</v>
      </c>
      <c r="H304">
        <v>18.03</v>
      </c>
    </row>
    <row r="305" spans="1:8" x14ac:dyDescent="0.3">
      <c r="A305" t="s">
        <v>328</v>
      </c>
      <c r="B305" s="1">
        <v>45785</v>
      </c>
      <c r="C305" t="s">
        <v>27</v>
      </c>
      <c r="D305" t="s">
        <v>17</v>
      </c>
      <c r="E305" t="s">
        <v>11</v>
      </c>
      <c r="F305">
        <v>7</v>
      </c>
      <c r="G305">
        <v>223.17</v>
      </c>
      <c r="H305">
        <v>59.53</v>
      </c>
    </row>
    <row r="306" spans="1:8" x14ac:dyDescent="0.3">
      <c r="A306" t="s">
        <v>329</v>
      </c>
      <c r="B306" s="1">
        <v>45739</v>
      </c>
      <c r="C306" t="s">
        <v>25</v>
      </c>
      <c r="D306" t="s">
        <v>20</v>
      </c>
      <c r="E306" t="s">
        <v>14</v>
      </c>
      <c r="F306">
        <v>4</v>
      </c>
      <c r="G306">
        <v>967.29</v>
      </c>
      <c r="H306">
        <v>167.69</v>
      </c>
    </row>
    <row r="307" spans="1:8" x14ac:dyDescent="0.3">
      <c r="A307" t="s">
        <v>330</v>
      </c>
      <c r="B307" s="1">
        <v>45669</v>
      </c>
      <c r="C307" t="s">
        <v>32</v>
      </c>
      <c r="D307" t="s">
        <v>17</v>
      </c>
      <c r="E307" t="s">
        <v>30</v>
      </c>
      <c r="F307">
        <v>8</v>
      </c>
      <c r="G307">
        <v>522.74</v>
      </c>
      <c r="H307">
        <v>94.66</v>
      </c>
    </row>
    <row r="308" spans="1:8" x14ac:dyDescent="0.3">
      <c r="A308" t="s">
        <v>331</v>
      </c>
      <c r="B308" s="1">
        <v>45956</v>
      </c>
      <c r="C308" t="s">
        <v>16</v>
      </c>
      <c r="D308" t="s">
        <v>17</v>
      </c>
      <c r="E308" t="s">
        <v>21</v>
      </c>
      <c r="F308">
        <v>4</v>
      </c>
      <c r="G308">
        <v>145.56</v>
      </c>
      <c r="H308">
        <v>19.84</v>
      </c>
    </row>
    <row r="309" spans="1:8" x14ac:dyDescent="0.3">
      <c r="A309" t="s">
        <v>332</v>
      </c>
      <c r="B309" s="1">
        <v>45804</v>
      </c>
      <c r="C309" t="s">
        <v>27</v>
      </c>
      <c r="D309" t="s">
        <v>17</v>
      </c>
      <c r="E309" t="s">
        <v>30</v>
      </c>
      <c r="F309">
        <v>8</v>
      </c>
      <c r="G309">
        <v>256.66000000000003</v>
      </c>
      <c r="H309">
        <v>42.65</v>
      </c>
    </row>
    <row r="310" spans="1:8" x14ac:dyDescent="0.3">
      <c r="A310" t="s">
        <v>333</v>
      </c>
      <c r="B310" s="1">
        <v>45864</v>
      </c>
      <c r="C310" t="s">
        <v>32</v>
      </c>
      <c r="D310" t="s">
        <v>17</v>
      </c>
      <c r="E310" t="s">
        <v>21</v>
      </c>
      <c r="F310">
        <v>6</v>
      </c>
      <c r="G310">
        <v>327.26</v>
      </c>
      <c r="H310">
        <v>29.53</v>
      </c>
    </row>
    <row r="311" spans="1:8" x14ac:dyDescent="0.3">
      <c r="A311" t="s">
        <v>334</v>
      </c>
      <c r="B311" s="1">
        <v>45843</v>
      </c>
      <c r="C311" t="s">
        <v>13</v>
      </c>
      <c r="D311" t="s">
        <v>10</v>
      </c>
      <c r="E311" t="s">
        <v>21</v>
      </c>
      <c r="F311">
        <v>4</v>
      </c>
      <c r="G311">
        <v>274.41000000000003</v>
      </c>
      <c r="H311">
        <v>49.63</v>
      </c>
    </row>
    <row r="312" spans="1:8" x14ac:dyDescent="0.3">
      <c r="A312" t="s">
        <v>335</v>
      </c>
      <c r="B312" s="1">
        <v>45977</v>
      </c>
      <c r="C312" t="s">
        <v>13</v>
      </c>
      <c r="D312" t="s">
        <v>10</v>
      </c>
      <c r="E312" t="s">
        <v>30</v>
      </c>
      <c r="F312">
        <v>5</v>
      </c>
      <c r="G312">
        <v>347.15</v>
      </c>
      <c r="H312">
        <v>34.479999999999997</v>
      </c>
    </row>
    <row r="313" spans="1:8" x14ac:dyDescent="0.3">
      <c r="A313" t="s">
        <v>336</v>
      </c>
      <c r="B313" s="1">
        <v>45943</v>
      </c>
      <c r="C313" t="s">
        <v>25</v>
      </c>
      <c r="D313" t="s">
        <v>20</v>
      </c>
      <c r="E313" t="s">
        <v>21</v>
      </c>
      <c r="F313">
        <v>6</v>
      </c>
      <c r="G313">
        <v>1387.31</v>
      </c>
      <c r="H313">
        <v>166.22</v>
      </c>
    </row>
    <row r="314" spans="1:8" x14ac:dyDescent="0.3">
      <c r="A314" t="s">
        <v>337</v>
      </c>
      <c r="B314" s="1">
        <v>45914</v>
      </c>
      <c r="C314" t="s">
        <v>13</v>
      </c>
      <c r="D314" t="s">
        <v>10</v>
      </c>
      <c r="E314" t="s">
        <v>30</v>
      </c>
      <c r="F314">
        <v>7</v>
      </c>
      <c r="G314">
        <v>477.26</v>
      </c>
      <c r="H314">
        <v>51.26</v>
      </c>
    </row>
    <row r="315" spans="1:8" x14ac:dyDescent="0.3">
      <c r="A315" t="s">
        <v>338</v>
      </c>
      <c r="B315" s="1">
        <v>45923</v>
      </c>
      <c r="C315" t="s">
        <v>25</v>
      </c>
      <c r="D315" t="s">
        <v>20</v>
      </c>
      <c r="E315" t="s">
        <v>14</v>
      </c>
      <c r="F315">
        <v>8</v>
      </c>
      <c r="G315">
        <v>1636.43</v>
      </c>
      <c r="H315">
        <v>423.22</v>
      </c>
    </row>
    <row r="316" spans="1:8" x14ac:dyDescent="0.3">
      <c r="A316" t="s">
        <v>339</v>
      </c>
      <c r="B316" s="1">
        <v>45971</v>
      </c>
      <c r="C316" t="s">
        <v>23</v>
      </c>
      <c r="D316" t="s">
        <v>17</v>
      </c>
      <c r="E316" t="s">
        <v>21</v>
      </c>
      <c r="F316">
        <v>6</v>
      </c>
      <c r="G316">
        <v>139.88</v>
      </c>
      <c r="H316">
        <v>38.9</v>
      </c>
    </row>
    <row r="317" spans="1:8" x14ac:dyDescent="0.3">
      <c r="A317" t="s">
        <v>340</v>
      </c>
      <c r="B317" s="1">
        <v>45917</v>
      </c>
      <c r="C317" t="s">
        <v>32</v>
      </c>
      <c r="D317" t="s">
        <v>17</v>
      </c>
      <c r="E317" t="s">
        <v>14</v>
      </c>
      <c r="F317">
        <v>6</v>
      </c>
      <c r="G317">
        <v>375.03</v>
      </c>
      <c r="H317">
        <v>52.49</v>
      </c>
    </row>
    <row r="318" spans="1:8" x14ac:dyDescent="0.3">
      <c r="A318" t="s">
        <v>341</v>
      </c>
      <c r="B318" s="1">
        <v>45827</v>
      </c>
      <c r="C318" t="s">
        <v>55</v>
      </c>
      <c r="D318" t="s">
        <v>10</v>
      </c>
      <c r="E318" t="s">
        <v>30</v>
      </c>
      <c r="F318">
        <v>6</v>
      </c>
      <c r="G318">
        <v>4274.32</v>
      </c>
      <c r="H318">
        <v>840.93</v>
      </c>
    </row>
    <row r="319" spans="1:8" x14ac:dyDescent="0.3">
      <c r="A319" t="s">
        <v>342</v>
      </c>
      <c r="B319" s="1">
        <v>45793</v>
      </c>
      <c r="C319" t="s">
        <v>55</v>
      </c>
      <c r="D319" t="s">
        <v>10</v>
      </c>
      <c r="E319" t="s">
        <v>11</v>
      </c>
      <c r="F319">
        <v>8</v>
      </c>
      <c r="G319">
        <v>5430.26</v>
      </c>
      <c r="H319">
        <v>1068.1600000000001</v>
      </c>
    </row>
    <row r="320" spans="1:8" x14ac:dyDescent="0.3">
      <c r="A320" t="s">
        <v>343</v>
      </c>
      <c r="B320" s="1">
        <v>45733</v>
      </c>
      <c r="C320" t="s">
        <v>23</v>
      </c>
      <c r="D320" t="s">
        <v>17</v>
      </c>
      <c r="E320" t="s">
        <v>11</v>
      </c>
      <c r="F320">
        <v>7</v>
      </c>
      <c r="G320">
        <v>158.6</v>
      </c>
      <c r="H320">
        <v>42.77</v>
      </c>
    </row>
    <row r="321" spans="1:8" x14ac:dyDescent="0.3">
      <c r="A321" t="s">
        <v>344</v>
      </c>
      <c r="B321" s="1">
        <v>45667</v>
      </c>
      <c r="C321" t="s">
        <v>9</v>
      </c>
      <c r="D321" t="s">
        <v>10</v>
      </c>
      <c r="E321" t="s">
        <v>14</v>
      </c>
      <c r="F321">
        <v>4</v>
      </c>
      <c r="G321">
        <v>693.17</v>
      </c>
      <c r="H321">
        <v>76.45</v>
      </c>
    </row>
    <row r="322" spans="1:8" x14ac:dyDescent="0.3">
      <c r="A322" t="s">
        <v>345</v>
      </c>
      <c r="B322" s="1">
        <v>45914</v>
      </c>
      <c r="C322" t="s">
        <v>16</v>
      </c>
      <c r="D322" t="s">
        <v>17</v>
      </c>
      <c r="E322" t="s">
        <v>14</v>
      </c>
      <c r="F322">
        <v>7</v>
      </c>
      <c r="G322">
        <v>300.88</v>
      </c>
      <c r="H322">
        <v>68.349999999999994</v>
      </c>
    </row>
    <row r="323" spans="1:8" x14ac:dyDescent="0.3">
      <c r="A323" t="s">
        <v>346</v>
      </c>
      <c r="B323" s="1">
        <v>45923</v>
      </c>
      <c r="C323" t="s">
        <v>55</v>
      </c>
      <c r="D323" t="s">
        <v>10</v>
      </c>
      <c r="E323" t="s">
        <v>11</v>
      </c>
      <c r="F323">
        <v>3</v>
      </c>
      <c r="G323">
        <v>1973.75</v>
      </c>
      <c r="H323">
        <v>551.91</v>
      </c>
    </row>
    <row r="324" spans="1:8" x14ac:dyDescent="0.3">
      <c r="A324" t="s">
        <v>347</v>
      </c>
      <c r="B324" s="1">
        <v>45818</v>
      </c>
      <c r="C324" t="s">
        <v>39</v>
      </c>
      <c r="D324" t="s">
        <v>10</v>
      </c>
      <c r="E324" t="s">
        <v>11</v>
      </c>
      <c r="F324">
        <v>7</v>
      </c>
      <c r="G324">
        <v>1110.96</v>
      </c>
      <c r="H324">
        <v>207.33</v>
      </c>
    </row>
    <row r="325" spans="1:8" x14ac:dyDescent="0.3">
      <c r="A325" t="s">
        <v>348</v>
      </c>
      <c r="B325" s="1">
        <v>46004</v>
      </c>
      <c r="C325" t="s">
        <v>13</v>
      </c>
      <c r="D325" t="s">
        <v>10</v>
      </c>
      <c r="E325" t="s">
        <v>21</v>
      </c>
      <c r="F325">
        <v>6</v>
      </c>
      <c r="G325">
        <v>459.91</v>
      </c>
      <c r="H325">
        <v>54.48</v>
      </c>
    </row>
    <row r="326" spans="1:8" x14ac:dyDescent="0.3">
      <c r="A326" t="s">
        <v>349</v>
      </c>
      <c r="B326" s="1">
        <v>45943</v>
      </c>
      <c r="C326" t="s">
        <v>16</v>
      </c>
      <c r="D326" t="s">
        <v>17</v>
      </c>
      <c r="E326" t="s">
        <v>21</v>
      </c>
      <c r="F326">
        <v>5</v>
      </c>
      <c r="G326">
        <v>188.99</v>
      </c>
      <c r="H326">
        <v>51.89</v>
      </c>
    </row>
    <row r="327" spans="1:8" x14ac:dyDescent="0.3">
      <c r="A327" t="s">
        <v>350</v>
      </c>
      <c r="B327" s="1">
        <v>46018</v>
      </c>
      <c r="C327" t="s">
        <v>32</v>
      </c>
      <c r="D327" t="s">
        <v>17</v>
      </c>
      <c r="E327" t="s">
        <v>11</v>
      </c>
      <c r="F327">
        <v>5</v>
      </c>
      <c r="G327">
        <v>311.41000000000003</v>
      </c>
      <c r="H327">
        <v>55.37</v>
      </c>
    </row>
    <row r="328" spans="1:8" x14ac:dyDescent="0.3">
      <c r="A328" t="s">
        <v>351</v>
      </c>
      <c r="B328" s="1">
        <v>45944</v>
      </c>
      <c r="C328" t="s">
        <v>39</v>
      </c>
      <c r="D328" t="s">
        <v>10</v>
      </c>
      <c r="E328" t="s">
        <v>21</v>
      </c>
      <c r="F328">
        <v>6</v>
      </c>
      <c r="G328">
        <v>919.26</v>
      </c>
      <c r="H328">
        <v>178.98</v>
      </c>
    </row>
    <row r="329" spans="1:8" x14ac:dyDescent="0.3">
      <c r="A329" t="s">
        <v>352</v>
      </c>
      <c r="B329" s="1">
        <v>45860</v>
      </c>
      <c r="C329" t="s">
        <v>13</v>
      </c>
      <c r="D329" t="s">
        <v>10</v>
      </c>
      <c r="E329" t="s">
        <v>21</v>
      </c>
      <c r="F329">
        <v>7</v>
      </c>
      <c r="G329">
        <v>572.73</v>
      </c>
      <c r="H329">
        <v>137.97999999999999</v>
      </c>
    </row>
    <row r="330" spans="1:8" x14ac:dyDescent="0.3">
      <c r="A330" t="s">
        <v>353</v>
      </c>
      <c r="B330" s="1">
        <v>45805</v>
      </c>
      <c r="C330" t="s">
        <v>32</v>
      </c>
      <c r="D330" t="s">
        <v>17</v>
      </c>
      <c r="E330" t="s">
        <v>30</v>
      </c>
      <c r="F330">
        <v>1</v>
      </c>
      <c r="G330">
        <v>58.16</v>
      </c>
      <c r="H330">
        <v>9.8000000000000007</v>
      </c>
    </row>
    <row r="331" spans="1:8" x14ac:dyDescent="0.3">
      <c r="A331" t="s">
        <v>354</v>
      </c>
      <c r="B331" s="1">
        <v>45767</v>
      </c>
      <c r="C331" t="s">
        <v>32</v>
      </c>
      <c r="D331" t="s">
        <v>17</v>
      </c>
      <c r="E331" t="s">
        <v>11</v>
      </c>
      <c r="F331">
        <v>8</v>
      </c>
      <c r="G331">
        <v>511.48</v>
      </c>
      <c r="H331">
        <v>68.650000000000006</v>
      </c>
    </row>
    <row r="332" spans="1:8" x14ac:dyDescent="0.3">
      <c r="A332" t="s">
        <v>355</v>
      </c>
      <c r="B332" s="1">
        <v>45728</v>
      </c>
      <c r="C332" t="s">
        <v>13</v>
      </c>
      <c r="D332" t="s">
        <v>10</v>
      </c>
      <c r="E332" t="s">
        <v>30</v>
      </c>
      <c r="F332">
        <v>5</v>
      </c>
      <c r="G332">
        <v>383.68</v>
      </c>
      <c r="H332">
        <v>75.73</v>
      </c>
    </row>
    <row r="333" spans="1:8" x14ac:dyDescent="0.3">
      <c r="A333" t="s">
        <v>356</v>
      </c>
      <c r="B333" s="1">
        <v>46000</v>
      </c>
      <c r="C333" t="s">
        <v>16</v>
      </c>
      <c r="D333" t="s">
        <v>17</v>
      </c>
      <c r="E333" t="s">
        <v>11</v>
      </c>
      <c r="F333">
        <v>1</v>
      </c>
      <c r="G333">
        <v>41.1</v>
      </c>
      <c r="H333">
        <v>3.72</v>
      </c>
    </row>
    <row r="334" spans="1:8" x14ac:dyDescent="0.3">
      <c r="A334" t="s">
        <v>357</v>
      </c>
      <c r="B334" s="1">
        <v>45899</v>
      </c>
      <c r="C334" t="s">
        <v>19</v>
      </c>
      <c r="D334" t="s">
        <v>20</v>
      </c>
      <c r="E334" t="s">
        <v>30</v>
      </c>
      <c r="F334">
        <v>6</v>
      </c>
      <c r="G334">
        <v>1865.23</v>
      </c>
      <c r="H334">
        <v>200.5</v>
      </c>
    </row>
    <row r="335" spans="1:8" x14ac:dyDescent="0.3">
      <c r="A335" t="s">
        <v>358</v>
      </c>
      <c r="B335" s="1">
        <v>45866</v>
      </c>
      <c r="C335" t="s">
        <v>13</v>
      </c>
      <c r="D335" t="s">
        <v>10</v>
      </c>
      <c r="E335" t="s">
        <v>14</v>
      </c>
      <c r="F335">
        <v>3</v>
      </c>
      <c r="G335">
        <v>223.99</v>
      </c>
      <c r="H335">
        <v>26.85</v>
      </c>
    </row>
    <row r="336" spans="1:8" x14ac:dyDescent="0.3">
      <c r="A336" t="s">
        <v>359</v>
      </c>
      <c r="B336" s="1">
        <v>45804</v>
      </c>
      <c r="C336" t="s">
        <v>32</v>
      </c>
      <c r="D336" t="s">
        <v>17</v>
      </c>
      <c r="E336" t="s">
        <v>30</v>
      </c>
      <c r="F336">
        <v>6</v>
      </c>
      <c r="G336">
        <v>389.37</v>
      </c>
      <c r="H336">
        <v>38.119999999999997</v>
      </c>
    </row>
    <row r="337" spans="1:8" x14ac:dyDescent="0.3">
      <c r="A337" t="s">
        <v>360</v>
      </c>
      <c r="B337" s="1">
        <v>45931</v>
      </c>
      <c r="C337" t="s">
        <v>27</v>
      </c>
      <c r="D337" t="s">
        <v>17</v>
      </c>
      <c r="E337" t="s">
        <v>30</v>
      </c>
      <c r="F337">
        <v>4</v>
      </c>
      <c r="G337">
        <v>129.91999999999999</v>
      </c>
      <c r="H337">
        <v>14.94</v>
      </c>
    </row>
    <row r="338" spans="1:8" x14ac:dyDescent="0.3">
      <c r="A338" t="s">
        <v>361</v>
      </c>
      <c r="B338" s="1">
        <v>45861</v>
      </c>
      <c r="C338" t="s">
        <v>23</v>
      </c>
      <c r="D338" t="s">
        <v>17</v>
      </c>
      <c r="E338" t="s">
        <v>14</v>
      </c>
      <c r="F338">
        <v>1</v>
      </c>
      <c r="G338">
        <v>23.43</v>
      </c>
      <c r="H338">
        <v>5.38</v>
      </c>
    </row>
    <row r="339" spans="1:8" x14ac:dyDescent="0.3">
      <c r="A339" t="s">
        <v>362</v>
      </c>
      <c r="B339" s="1">
        <v>45662</v>
      </c>
      <c r="C339" t="s">
        <v>32</v>
      </c>
      <c r="D339" t="s">
        <v>17</v>
      </c>
      <c r="E339" t="s">
        <v>21</v>
      </c>
      <c r="F339">
        <v>1</v>
      </c>
      <c r="G339">
        <v>60.82</v>
      </c>
      <c r="H339">
        <v>6.17</v>
      </c>
    </row>
    <row r="340" spans="1:8" x14ac:dyDescent="0.3">
      <c r="A340" t="s">
        <v>363</v>
      </c>
      <c r="B340" s="1">
        <v>45890</v>
      </c>
      <c r="C340" t="s">
        <v>25</v>
      </c>
      <c r="D340" t="s">
        <v>20</v>
      </c>
      <c r="E340" t="s">
        <v>14</v>
      </c>
      <c r="F340">
        <v>5</v>
      </c>
      <c r="G340">
        <v>1185.6400000000001</v>
      </c>
      <c r="H340">
        <v>126.67</v>
      </c>
    </row>
    <row r="341" spans="1:8" x14ac:dyDescent="0.3">
      <c r="A341" t="s">
        <v>364</v>
      </c>
      <c r="B341" s="1">
        <v>45797</v>
      </c>
      <c r="C341" t="s">
        <v>13</v>
      </c>
      <c r="D341" t="s">
        <v>10</v>
      </c>
      <c r="E341" t="s">
        <v>11</v>
      </c>
      <c r="F341">
        <v>8</v>
      </c>
      <c r="G341">
        <v>637.05999999999995</v>
      </c>
      <c r="H341">
        <v>93.1</v>
      </c>
    </row>
    <row r="342" spans="1:8" x14ac:dyDescent="0.3">
      <c r="A342" t="s">
        <v>365</v>
      </c>
      <c r="B342" s="1">
        <v>45753</v>
      </c>
      <c r="C342" t="s">
        <v>39</v>
      </c>
      <c r="D342" t="s">
        <v>10</v>
      </c>
      <c r="E342" t="s">
        <v>30</v>
      </c>
      <c r="F342">
        <v>5</v>
      </c>
      <c r="G342">
        <v>837.86</v>
      </c>
      <c r="H342">
        <v>199.54</v>
      </c>
    </row>
    <row r="343" spans="1:8" x14ac:dyDescent="0.3">
      <c r="A343" t="s">
        <v>366</v>
      </c>
      <c r="B343" s="1">
        <v>45747</v>
      </c>
      <c r="C343" t="s">
        <v>27</v>
      </c>
      <c r="D343" t="s">
        <v>17</v>
      </c>
      <c r="E343" t="s">
        <v>14</v>
      </c>
      <c r="F343">
        <v>4</v>
      </c>
      <c r="G343">
        <v>127.85</v>
      </c>
      <c r="H343">
        <v>23.4</v>
      </c>
    </row>
    <row r="344" spans="1:8" x14ac:dyDescent="0.3">
      <c r="A344" t="s">
        <v>367</v>
      </c>
      <c r="B344" s="1">
        <v>46000</v>
      </c>
      <c r="C344" t="s">
        <v>9</v>
      </c>
      <c r="D344" t="s">
        <v>10</v>
      </c>
      <c r="E344" t="s">
        <v>30</v>
      </c>
      <c r="F344">
        <v>7</v>
      </c>
      <c r="G344">
        <v>1180.56</v>
      </c>
      <c r="H344">
        <v>127.64</v>
      </c>
    </row>
    <row r="345" spans="1:8" x14ac:dyDescent="0.3">
      <c r="A345" t="s">
        <v>368</v>
      </c>
      <c r="B345" s="1">
        <v>45661</v>
      </c>
      <c r="C345" t="s">
        <v>25</v>
      </c>
      <c r="D345" t="s">
        <v>20</v>
      </c>
      <c r="E345" t="s">
        <v>21</v>
      </c>
      <c r="F345">
        <v>4</v>
      </c>
      <c r="G345">
        <v>859.51</v>
      </c>
      <c r="H345">
        <v>145.56</v>
      </c>
    </row>
    <row r="346" spans="1:8" x14ac:dyDescent="0.3">
      <c r="A346" t="s">
        <v>369</v>
      </c>
      <c r="B346" s="1">
        <v>45812</v>
      </c>
      <c r="C346" t="s">
        <v>32</v>
      </c>
      <c r="D346" t="s">
        <v>17</v>
      </c>
      <c r="E346" t="s">
        <v>30</v>
      </c>
      <c r="F346">
        <v>6</v>
      </c>
      <c r="G346">
        <v>342.83</v>
      </c>
      <c r="H346">
        <v>52.08</v>
      </c>
    </row>
    <row r="347" spans="1:8" x14ac:dyDescent="0.3">
      <c r="A347" t="s">
        <v>370</v>
      </c>
      <c r="B347" s="1">
        <v>45999</v>
      </c>
      <c r="C347" t="s">
        <v>16</v>
      </c>
      <c r="D347" t="s">
        <v>17</v>
      </c>
      <c r="E347" t="s">
        <v>30</v>
      </c>
      <c r="F347">
        <v>1</v>
      </c>
      <c r="G347">
        <v>39.72</v>
      </c>
      <c r="H347">
        <v>4.45</v>
      </c>
    </row>
    <row r="348" spans="1:8" x14ac:dyDescent="0.3">
      <c r="A348" t="s">
        <v>371</v>
      </c>
      <c r="B348" s="1">
        <v>46011</v>
      </c>
      <c r="C348" t="s">
        <v>13</v>
      </c>
      <c r="D348" t="s">
        <v>10</v>
      </c>
      <c r="E348" t="s">
        <v>30</v>
      </c>
      <c r="F348">
        <v>5</v>
      </c>
      <c r="G348">
        <v>385.4</v>
      </c>
      <c r="H348">
        <v>103.34</v>
      </c>
    </row>
    <row r="349" spans="1:8" x14ac:dyDescent="0.3">
      <c r="A349" t="s">
        <v>372</v>
      </c>
      <c r="B349" s="1">
        <v>45770</v>
      </c>
      <c r="C349" t="s">
        <v>25</v>
      </c>
      <c r="D349" t="s">
        <v>20</v>
      </c>
      <c r="E349" t="s">
        <v>11</v>
      </c>
      <c r="F349">
        <v>4</v>
      </c>
      <c r="G349">
        <v>876.16</v>
      </c>
      <c r="H349">
        <v>149.82</v>
      </c>
    </row>
    <row r="350" spans="1:8" x14ac:dyDescent="0.3">
      <c r="A350" t="s">
        <v>373</v>
      </c>
      <c r="B350" s="1">
        <v>45870</v>
      </c>
      <c r="C350" t="s">
        <v>27</v>
      </c>
      <c r="D350" t="s">
        <v>17</v>
      </c>
      <c r="E350" t="s">
        <v>14</v>
      </c>
      <c r="F350">
        <v>6</v>
      </c>
      <c r="G350">
        <v>189.26</v>
      </c>
      <c r="H350">
        <v>45.5</v>
      </c>
    </row>
    <row r="351" spans="1:8" x14ac:dyDescent="0.3">
      <c r="A351" t="s">
        <v>374</v>
      </c>
      <c r="B351" s="1">
        <v>46006</v>
      </c>
      <c r="C351" t="s">
        <v>16</v>
      </c>
      <c r="D351" t="s">
        <v>17</v>
      </c>
      <c r="E351" t="s">
        <v>30</v>
      </c>
      <c r="F351">
        <v>4</v>
      </c>
      <c r="G351">
        <v>160.82</v>
      </c>
      <c r="H351">
        <v>29.85</v>
      </c>
    </row>
    <row r="352" spans="1:8" x14ac:dyDescent="0.3">
      <c r="A352" t="s">
        <v>375</v>
      </c>
      <c r="B352" s="1">
        <v>45946</v>
      </c>
      <c r="C352" t="s">
        <v>25</v>
      </c>
      <c r="D352" t="s">
        <v>20</v>
      </c>
      <c r="E352" t="s">
        <v>30</v>
      </c>
      <c r="F352">
        <v>2</v>
      </c>
      <c r="G352">
        <v>401.43</v>
      </c>
      <c r="H352">
        <v>76.08</v>
      </c>
    </row>
    <row r="353" spans="1:8" x14ac:dyDescent="0.3">
      <c r="A353" t="s">
        <v>376</v>
      </c>
      <c r="B353" s="1">
        <v>45951</v>
      </c>
      <c r="C353" t="s">
        <v>13</v>
      </c>
      <c r="D353" t="s">
        <v>10</v>
      </c>
      <c r="E353" t="s">
        <v>11</v>
      </c>
      <c r="F353">
        <v>4</v>
      </c>
      <c r="G353">
        <v>279.87</v>
      </c>
      <c r="H353">
        <v>70.22</v>
      </c>
    </row>
    <row r="354" spans="1:8" x14ac:dyDescent="0.3">
      <c r="A354" t="s">
        <v>377</v>
      </c>
      <c r="B354" s="1">
        <v>46006</v>
      </c>
      <c r="C354" t="s">
        <v>39</v>
      </c>
      <c r="D354" t="s">
        <v>10</v>
      </c>
      <c r="E354" t="s">
        <v>11</v>
      </c>
      <c r="F354">
        <v>2</v>
      </c>
      <c r="G354">
        <v>333.88</v>
      </c>
      <c r="H354">
        <v>59.35</v>
      </c>
    </row>
    <row r="355" spans="1:8" x14ac:dyDescent="0.3">
      <c r="A355" t="s">
        <v>378</v>
      </c>
      <c r="B355" s="1">
        <v>45686</v>
      </c>
      <c r="C355" t="s">
        <v>13</v>
      </c>
      <c r="D355" t="s">
        <v>10</v>
      </c>
      <c r="E355" t="s">
        <v>14</v>
      </c>
      <c r="F355">
        <v>8</v>
      </c>
      <c r="G355">
        <v>555.83000000000004</v>
      </c>
      <c r="H355">
        <v>90.65</v>
      </c>
    </row>
    <row r="356" spans="1:8" x14ac:dyDescent="0.3">
      <c r="A356" t="s">
        <v>379</v>
      </c>
      <c r="B356" s="1">
        <v>45944</v>
      </c>
      <c r="C356" t="s">
        <v>27</v>
      </c>
      <c r="D356" t="s">
        <v>17</v>
      </c>
      <c r="E356" t="s">
        <v>14</v>
      </c>
      <c r="F356">
        <v>1</v>
      </c>
      <c r="G356">
        <v>31.04</v>
      </c>
      <c r="H356">
        <v>4.4000000000000004</v>
      </c>
    </row>
    <row r="357" spans="1:8" x14ac:dyDescent="0.3">
      <c r="A357" t="s">
        <v>380</v>
      </c>
      <c r="B357" s="1">
        <v>45788</v>
      </c>
      <c r="C357" t="s">
        <v>55</v>
      </c>
      <c r="D357" t="s">
        <v>10</v>
      </c>
      <c r="E357" t="s">
        <v>30</v>
      </c>
      <c r="F357">
        <v>7</v>
      </c>
      <c r="G357">
        <v>4773.68</v>
      </c>
      <c r="H357">
        <v>934.03</v>
      </c>
    </row>
    <row r="358" spans="1:8" x14ac:dyDescent="0.3">
      <c r="A358" t="s">
        <v>381</v>
      </c>
      <c r="B358" s="1">
        <v>45834</v>
      </c>
      <c r="C358" t="s">
        <v>55</v>
      </c>
      <c r="D358" t="s">
        <v>10</v>
      </c>
      <c r="E358" t="s">
        <v>30</v>
      </c>
      <c r="F358">
        <v>7</v>
      </c>
      <c r="G358">
        <v>4587.46</v>
      </c>
      <c r="H358">
        <v>422.28</v>
      </c>
    </row>
    <row r="359" spans="1:8" x14ac:dyDescent="0.3">
      <c r="A359" t="s">
        <v>382</v>
      </c>
      <c r="B359" s="1">
        <v>45674</v>
      </c>
      <c r="C359" t="s">
        <v>9</v>
      </c>
      <c r="D359" t="s">
        <v>10</v>
      </c>
      <c r="E359" t="s">
        <v>21</v>
      </c>
      <c r="F359">
        <v>8</v>
      </c>
      <c r="G359">
        <v>1413.75</v>
      </c>
      <c r="H359">
        <v>330.53</v>
      </c>
    </row>
    <row r="360" spans="1:8" x14ac:dyDescent="0.3">
      <c r="A360" t="s">
        <v>383</v>
      </c>
      <c r="B360" s="1">
        <v>45853</v>
      </c>
      <c r="C360" t="s">
        <v>19</v>
      </c>
      <c r="D360" t="s">
        <v>20</v>
      </c>
      <c r="E360" t="s">
        <v>14</v>
      </c>
      <c r="F360">
        <v>6</v>
      </c>
      <c r="G360">
        <v>1933.06</v>
      </c>
      <c r="H360">
        <v>505.21</v>
      </c>
    </row>
    <row r="361" spans="1:8" x14ac:dyDescent="0.3">
      <c r="A361" t="s">
        <v>384</v>
      </c>
      <c r="B361" s="1">
        <v>46007</v>
      </c>
      <c r="C361" t="s">
        <v>19</v>
      </c>
      <c r="D361" t="s">
        <v>20</v>
      </c>
      <c r="E361" t="s">
        <v>11</v>
      </c>
      <c r="F361">
        <v>2</v>
      </c>
      <c r="G361">
        <v>618.41999999999996</v>
      </c>
      <c r="H361">
        <v>92.49</v>
      </c>
    </row>
    <row r="362" spans="1:8" x14ac:dyDescent="0.3">
      <c r="A362" t="s">
        <v>385</v>
      </c>
      <c r="B362" s="1">
        <v>45928</v>
      </c>
      <c r="C362" t="s">
        <v>23</v>
      </c>
      <c r="D362" t="s">
        <v>17</v>
      </c>
      <c r="E362" t="s">
        <v>11</v>
      </c>
      <c r="F362">
        <v>7</v>
      </c>
      <c r="G362">
        <v>182.98</v>
      </c>
      <c r="H362">
        <v>22.79</v>
      </c>
    </row>
    <row r="363" spans="1:8" x14ac:dyDescent="0.3">
      <c r="A363" t="s">
        <v>386</v>
      </c>
      <c r="B363" s="1">
        <v>45810</v>
      </c>
      <c r="C363" t="s">
        <v>55</v>
      </c>
      <c r="D363" t="s">
        <v>10</v>
      </c>
      <c r="E363" t="s">
        <v>14</v>
      </c>
      <c r="F363">
        <v>1</v>
      </c>
      <c r="G363">
        <v>672.55</v>
      </c>
      <c r="H363">
        <v>127.04</v>
      </c>
    </row>
    <row r="364" spans="1:8" x14ac:dyDescent="0.3">
      <c r="A364" t="s">
        <v>387</v>
      </c>
      <c r="B364" s="1">
        <v>45775</v>
      </c>
      <c r="C364" t="s">
        <v>13</v>
      </c>
      <c r="D364" t="s">
        <v>10</v>
      </c>
      <c r="E364" t="s">
        <v>11</v>
      </c>
      <c r="F364">
        <v>7</v>
      </c>
      <c r="G364">
        <v>520.87</v>
      </c>
      <c r="H364">
        <v>57.83</v>
      </c>
    </row>
    <row r="365" spans="1:8" x14ac:dyDescent="0.3">
      <c r="A365" t="s">
        <v>388</v>
      </c>
      <c r="B365" s="1">
        <v>45674</v>
      </c>
      <c r="C365" t="s">
        <v>16</v>
      </c>
      <c r="D365" t="s">
        <v>17</v>
      </c>
      <c r="E365" t="s">
        <v>14</v>
      </c>
      <c r="F365">
        <v>2</v>
      </c>
      <c r="G365">
        <v>81.84</v>
      </c>
      <c r="H365">
        <v>21.87</v>
      </c>
    </row>
    <row r="366" spans="1:8" x14ac:dyDescent="0.3">
      <c r="A366" t="s">
        <v>389</v>
      </c>
      <c r="B366" s="1">
        <v>45763</v>
      </c>
      <c r="C366" t="s">
        <v>55</v>
      </c>
      <c r="D366" t="s">
        <v>10</v>
      </c>
      <c r="E366" t="s">
        <v>30</v>
      </c>
      <c r="F366">
        <v>4</v>
      </c>
      <c r="G366">
        <v>2392.4699999999998</v>
      </c>
      <c r="H366">
        <v>207.46</v>
      </c>
    </row>
    <row r="367" spans="1:8" x14ac:dyDescent="0.3">
      <c r="A367" t="s">
        <v>390</v>
      </c>
      <c r="B367" s="1">
        <v>45783</v>
      </c>
      <c r="C367" t="s">
        <v>27</v>
      </c>
      <c r="D367" t="s">
        <v>17</v>
      </c>
      <c r="E367" t="s">
        <v>30</v>
      </c>
      <c r="F367">
        <v>1</v>
      </c>
      <c r="G367">
        <v>29.41</v>
      </c>
      <c r="H367">
        <v>3.73</v>
      </c>
    </row>
    <row r="368" spans="1:8" x14ac:dyDescent="0.3">
      <c r="A368" t="s">
        <v>391</v>
      </c>
      <c r="B368" s="1">
        <v>45729</v>
      </c>
      <c r="C368" t="s">
        <v>16</v>
      </c>
      <c r="D368" t="s">
        <v>17</v>
      </c>
      <c r="E368" t="s">
        <v>21</v>
      </c>
      <c r="F368">
        <v>1</v>
      </c>
      <c r="G368">
        <v>37.869999999999997</v>
      </c>
      <c r="H368">
        <v>9.9700000000000006</v>
      </c>
    </row>
    <row r="369" spans="1:8" x14ac:dyDescent="0.3">
      <c r="A369" t="s">
        <v>392</v>
      </c>
      <c r="B369" s="1">
        <v>45953</v>
      </c>
      <c r="C369" t="s">
        <v>27</v>
      </c>
      <c r="D369" t="s">
        <v>17</v>
      </c>
      <c r="E369" t="s">
        <v>21</v>
      </c>
      <c r="F369">
        <v>6</v>
      </c>
      <c r="G369">
        <v>170.53</v>
      </c>
      <c r="H369">
        <v>43.53</v>
      </c>
    </row>
    <row r="370" spans="1:8" x14ac:dyDescent="0.3">
      <c r="A370" t="s">
        <v>393</v>
      </c>
      <c r="B370" s="1">
        <v>45869</v>
      </c>
      <c r="C370" t="s">
        <v>13</v>
      </c>
      <c r="D370" t="s">
        <v>10</v>
      </c>
      <c r="E370" t="s">
        <v>21</v>
      </c>
      <c r="F370">
        <v>4</v>
      </c>
      <c r="G370">
        <v>286.51</v>
      </c>
      <c r="H370">
        <v>54.82</v>
      </c>
    </row>
    <row r="371" spans="1:8" x14ac:dyDescent="0.3">
      <c r="A371" t="s">
        <v>394</v>
      </c>
      <c r="B371" s="1">
        <v>45978</v>
      </c>
      <c r="C371" t="s">
        <v>27</v>
      </c>
      <c r="D371" t="s">
        <v>17</v>
      </c>
      <c r="E371" t="s">
        <v>14</v>
      </c>
      <c r="F371">
        <v>3</v>
      </c>
      <c r="G371">
        <v>91.01</v>
      </c>
      <c r="H371">
        <v>8.1300000000000008</v>
      </c>
    </row>
    <row r="372" spans="1:8" x14ac:dyDescent="0.3">
      <c r="A372" t="s">
        <v>395</v>
      </c>
      <c r="B372" s="1">
        <v>45926</v>
      </c>
      <c r="C372" t="s">
        <v>25</v>
      </c>
      <c r="D372" t="s">
        <v>20</v>
      </c>
      <c r="E372" t="s">
        <v>21</v>
      </c>
      <c r="F372">
        <v>7</v>
      </c>
      <c r="G372">
        <v>1600.46</v>
      </c>
      <c r="H372">
        <v>258.72000000000003</v>
      </c>
    </row>
    <row r="373" spans="1:8" x14ac:dyDescent="0.3">
      <c r="A373" t="s">
        <v>396</v>
      </c>
      <c r="B373" s="1">
        <v>45752</v>
      </c>
      <c r="C373" t="s">
        <v>32</v>
      </c>
      <c r="D373" t="s">
        <v>17</v>
      </c>
      <c r="E373" t="s">
        <v>14</v>
      </c>
      <c r="F373">
        <v>7</v>
      </c>
      <c r="G373">
        <v>398.24</v>
      </c>
      <c r="H373">
        <v>49.81</v>
      </c>
    </row>
    <row r="374" spans="1:8" x14ac:dyDescent="0.3">
      <c r="A374" t="s">
        <v>397</v>
      </c>
      <c r="B374" s="1">
        <v>45687</v>
      </c>
      <c r="C374" t="s">
        <v>23</v>
      </c>
      <c r="D374" t="s">
        <v>17</v>
      </c>
      <c r="E374" t="s">
        <v>14</v>
      </c>
      <c r="F374">
        <v>8</v>
      </c>
      <c r="G374">
        <v>218.71</v>
      </c>
      <c r="H374">
        <v>41.87</v>
      </c>
    </row>
    <row r="375" spans="1:8" x14ac:dyDescent="0.3">
      <c r="A375" t="s">
        <v>398</v>
      </c>
      <c r="B375" s="1">
        <v>45782</v>
      </c>
      <c r="C375" t="s">
        <v>23</v>
      </c>
      <c r="D375" t="s">
        <v>17</v>
      </c>
      <c r="E375" t="s">
        <v>21</v>
      </c>
      <c r="F375">
        <v>7</v>
      </c>
      <c r="G375">
        <v>164.62</v>
      </c>
      <c r="H375">
        <v>34.46</v>
      </c>
    </row>
    <row r="376" spans="1:8" x14ac:dyDescent="0.3">
      <c r="A376" t="s">
        <v>399</v>
      </c>
      <c r="B376" s="1">
        <v>45705</v>
      </c>
      <c r="C376" t="s">
        <v>39</v>
      </c>
      <c r="D376" t="s">
        <v>10</v>
      </c>
      <c r="E376" t="s">
        <v>11</v>
      </c>
      <c r="F376">
        <v>6</v>
      </c>
      <c r="G376">
        <v>873.9</v>
      </c>
      <c r="H376">
        <v>135.83000000000001</v>
      </c>
    </row>
    <row r="377" spans="1:8" x14ac:dyDescent="0.3">
      <c r="A377" t="s">
        <v>400</v>
      </c>
      <c r="B377" s="1">
        <v>45695</v>
      </c>
      <c r="C377" t="s">
        <v>27</v>
      </c>
      <c r="D377" t="s">
        <v>17</v>
      </c>
      <c r="E377" t="s">
        <v>11</v>
      </c>
      <c r="F377">
        <v>1</v>
      </c>
      <c r="G377">
        <v>31.83</v>
      </c>
      <c r="H377">
        <v>6.29</v>
      </c>
    </row>
    <row r="378" spans="1:8" x14ac:dyDescent="0.3">
      <c r="A378" t="s">
        <v>401</v>
      </c>
      <c r="B378" s="1">
        <v>45903</v>
      </c>
      <c r="C378" t="s">
        <v>13</v>
      </c>
      <c r="D378" t="s">
        <v>10</v>
      </c>
      <c r="E378" t="s">
        <v>11</v>
      </c>
      <c r="F378">
        <v>4</v>
      </c>
      <c r="G378">
        <v>322.17</v>
      </c>
      <c r="H378">
        <v>47.23</v>
      </c>
    </row>
    <row r="379" spans="1:8" x14ac:dyDescent="0.3">
      <c r="A379" t="s">
        <v>402</v>
      </c>
      <c r="B379" s="1">
        <v>45755</v>
      </c>
      <c r="C379" t="s">
        <v>55</v>
      </c>
      <c r="D379" t="s">
        <v>10</v>
      </c>
      <c r="E379" t="s">
        <v>30</v>
      </c>
      <c r="F379">
        <v>4</v>
      </c>
      <c r="G379">
        <v>2728.38</v>
      </c>
      <c r="H379">
        <v>629.89</v>
      </c>
    </row>
    <row r="380" spans="1:8" x14ac:dyDescent="0.3">
      <c r="A380" t="s">
        <v>403</v>
      </c>
      <c r="B380" s="1">
        <v>45861</v>
      </c>
      <c r="C380" t="s">
        <v>16</v>
      </c>
      <c r="D380" t="s">
        <v>17</v>
      </c>
      <c r="E380" t="s">
        <v>11</v>
      </c>
      <c r="F380">
        <v>4</v>
      </c>
      <c r="G380">
        <v>161.66999999999999</v>
      </c>
      <c r="H380">
        <v>38.01</v>
      </c>
    </row>
    <row r="381" spans="1:8" x14ac:dyDescent="0.3">
      <c r="A381" t="s">
        <v>404</v>
      </c>
      <c r="B381" s="1">
        <v>45931</v>
      </c>
      <c r="C381" t="s">
        <v>19</v>
      </c>
      <c r="D381" t="s">
        <v>20</v>
      </c>
      <c r="E381" t="s">
        <v>21</v>
      </c>
      <c r="F381">
        <v>8</v>
      </c>
      <c r="G381">
        <v>2308.04</v>
      </c>
      <c r="H381">
        <v>350.66</v>
      </c>
    </row>
    <row r="382" spans="1:8" x14ac:dyDescent="0.3">
      <c r="A382" t="s">
        <v>405</v>
      </c>
      <c r="B382" s="1">
        <v>45708</v>
      </c>
      <c r="C382" t="s">
        <v>39</v>
      </c>
      <c r="D382" t="s">
        <v>10</v>
      </c>
      <c r="E382" t="s">
        <v>14</v>
      </c>
      <c r="F382">
        <v>8</v>
      </c>
      <c r="G382">
        <v>1346.98</v>
      </c>
      <c r="H382">
        <v>194.03</v>
      </c>
    </row>
    <row r="383" spans="1:8" x14ac:dyDescent="0.3">
      <c r="A383" t="s">
        <v>406</v>
      </c>
      <c r="B383" s="1">
        <v>45818</v>
      </c>
      <c r="C383" t="s">
        <v>16</v>
      </c>
      <c r="D383" t="s">
        <v>17</v>
      </c>
      <c r="E383" t="s">
        <v>14</v>
      </c>
      <c r="F383">
        <v>6</v>
      </c>
      <c r="G383">
        <v>218.19</v>
      </c>
      <c r="H383">
        <v>55.16</v>
      </c>
    </row>
    <row r="384" spans="1:8" x14ac:dyDescent="0.3">
      <c r="A384" t="s">
        <v>407</v>
      </c>
      <c r="B384" s="1">
        <v>45791</v>
      </c>
      <c r="C384" t="s">
        <v>23</v>
      </c>
      <c r="D384" t="s">
        <v>17</v>
      </c>
      <c r="E384" t="s">
        <v>14</v>
      </c>
      <c r="F384">
        <v>1</v>
      </c>
      <c r="G384">
        <v>23.98</v>
      </c>
      <c r="H384">
        <v>2.86</v>
      </c>
    </row>
    <row r="385" spans="1:8" x14ac:dyDescent="0.3">
      <c r="A385" t="s">
        <v>408</v>
      </c>
      <c r="B385" s="1">
        <v>45949</v>
      </c>
      <c r="C385" t="s">
        <v>16</v>
      </c>
      <c r="D385" t="s">
        <v>17</v>
      </c>
      <c r="E385" t="s">
        <v>11</v>
      </c>
      <c r="F385">
        <v>7</v>
      </c>
      <c r="G385">
        <v>279.95999999999998</v>
      </c>
      <c r="H385">
        <v>59.05</v>
      </c>
    </row>
    <row r="386" spans="1:8" x14ac:dyDescent="0.3">
      <c r="A386" t="s">
        <v>409</v>
      </c>
      <c r="B386" s="1">
        <v>45908</v>
      </c>
      <c r="C386" t="s">
        <v>25</v>
      </c>
      <c r="D386" t="s">
        <v>20</v>
      </c>
      <c r="E386" t="s">
        <v>14</v>
      </c>
      <c r="F386">
        <v>5</v>
      </c>
      <c r="G386">
        <v>1091.3800000000001</v>
      </c>
      <c r="H386">
        <v>247.26</v>
      </c>
    </row>
    <row r="387" spans="1:8" x14ac:dyDescent="0.3">
      <c r="A387" t="s">
        <v>410</v>
      </c>
      <c r="B387" s="1">
        <v>45729</v>
      </c>
      <c r="C387" t="s">
        <v>25</v>
      </c>
      <c r="D387" t="s">
        <v>20</v>
      </c>
      <c r="E387" t="s">
        <v>14</v>
      </c>
      <c r="F387">
        <v>3</v>
      </c>
      <c r="G387">
        <v>618.29</v>
      </c>
      <c r="H387">
        <v>159.44</v>
      </c>
    </row>
    <row r="388" spans="1:8" x14ac:dyDescent="0.3">
      <c r="A388" t="s">
        <v>411</v>
      </c>
      <c r="B388" s="1">
        <v>45696</v>
      </c>
      <c r="C388" t="s">
        <v>55</v>
      </c>
      <c r="D388" t="s">
        <v>10</v>
      </c>
      <c r="E388" t="s">
        <v>30</v>
      </c>
      <c r="F388">
        <v>1</v>
      </c>
      <c r="G388">
        <v>684.36</v>
      </c>
      <c r="H388">
        <v>111.19</v>
      </c>
    </row>
    <row r="389" spans="1:8" x14ac:dyDescent="0.3">
      <c r="A389" t="s">
        <v>412</v>
      </c>
      <c r="B389" s="1">
        <v>46020</v>
      </c>
      <c r="C389" t="s">
        <v>16</v>
      </c>
      <c r="D389" t="s">
        <v>17</v>
      </c>
      <c r="E389" t="s">
        <v>11</v>
      </c>
      <c r="F389">
        <v>2</v>
      </c>
      <c r="G389">
        <v>72.150000000000006</v>
      </c>
      <c r="H389">
        <v>13.07</v>
      </c>
    </row>
    <row r="390" spans="1:8" x14ac:dyDescent="0.3">
      <c r="A390" t="s">
        <v>413</v>
      </c>
      <c r="B390" s="1">
        <v>45974</v>
      </c>
      <c r="C390" t="s">
        <v>25</v>
      </c>
      <c r="D390" t="s">
        <v>20</v>
      </c>
      <c r="E390" t="s">
        <v>14</v>
      </c>
      <c r="F390">
        <v>1</v>
      </c>
      <c r="G390">
        <v>227.01</v>
      </c>
      <c r="H390">
        <v>18.88</v>
      </c>
    </row>
    <row r="391" spans="1:8" x14ac:dyDescent="0.3">
      <c r="A391" t="s">
        <v>414</v>
      </c>
      <c r="B391" s="1">
        <v>45664</v>
      </c>
      <c r="C391" t="s">
        <v>13</v>
      </c>
      <c r="D391" t="s">
        <v>10</v>
      </c>
      <c r="E391" t="s">
        <v>30</v>
      </c>
      <c r="F391">
        <v>7</v>
      </c>
      <c r="G391">
        <v>528.09</v>
      </c>
      <c r="H391">
        <v>71.260000000000005</v>
      </c>
    </row>
    <row r="392" spans="1:8" x14ac:dyDescent="0.3">
      <c r="A392" t="s">
        <v>415</v>
      </c>
      <c r="B392" s="1">
        <v>45915</v>
      </c>
      <c r="C392" t="s">
        <v>32</v>
      </c>
      <c r="D392" t="s">
        <v>17</v>
      </c>
      <c r="E392" t="s">
        <v>14</v>
      </c>
      <c r="F392">
        <v>1</v>
      </c>
      <c r="G392">
        <v>63.67</v>
      </c>
      <c r="H392">
        <v>16.68</v>
      </c>
    </row>
    <row r="393" spans="1:8" x14ac:dyDescent="0.3">
      <c r="A393" t="s">
        <v>416</v>
      </c>
      <c r="B393" s="1">
        <v>45926</v>
      </c>
      <c r="C393" t="s">
        <v>9</v>
      </c>
      <c r="D393" t="s">
        <v>10</v>
      </c>
      <c r="E393" t="s">
        <v>11</v>
      </c>
      <c r="F393">
        <v>2</v>
      </c>
      <c r="G393">
        <v>341.35</v>
      </c>
      <c r="H393">
        <v>69.62</v>
      </c>
    </row>
    <row r="394" spans="1:8" x14ac:dyDescent="0.3">
      <c r="A394" t="s">
        <v>417</v>
      </c>
      <c r="B394" s="1">
        <v>45794</v>
      </c>
      <c r="C394" t="s">
        <v>32</v>
      </c>
      <c r="D394" t="s">
        <v>17</v>
      </c>
      <c r="E394" t="s">
        <v>14</v>
      </c>
      <c r="F394">
        <v>6</v>
      </c>
      <c r="G394">
        <v>329.69</v>
      </c>
      <c r="H394">
        <v>89.63</v>
      </c>
    </row>
    <row r="395" spans="1:8" x14ac:dyDescent="0.3">
      <c r="A395" t="s">
        <v>418</v>
      </c>
      <c r="B395" s="1">
        <v>46014</v>
      </c>
      <c r="C395" t="s">
        <v>39</v>
      </c>
      <c r="D395" t="s">
        <v>10</v>
      </c>
      <c r="E395" t="s">
        <v>11</v>
      </c>
      <c r="F395">
        <v>4</v>
      </c>
      <c r="G395">
        <v>614.4</v>
      </c>
      <c r="H395">
        <v>150.9</v>
      </c>
    </row>
    <row r="396" spans="1:8" x14ac:dyDescent="0.3">
      <c r="A396" t="s">
        <v>419</v>
      </c>
      <c r="B396" s="1">
        <v>45705</v>
      </c>
      <c r="C396" t="s">
        <v>9</v>
      </c>
      <c r="D396" t="s">
        <v>10</v>
      </c>
      <c r="E396" t="s">
        <v>14</v>
      </c>
      <c r="F396">
        <v>1</v>
      </c>
      <c r="G396">
        <v>175.65</v>
      </c>
      <c r="H396">
        <v>33.47</v>
      </c>
    </row>
    <row r="397" spans="1:8" x14ac:dyDescent="0.3">
      <c r="A397" t="s">
        <v>420</v>
      </c>
      <c r="B397" s="1">
        <v>46017</v>
      </c>
      <c r="C397" t="s">
        <v>55</v>
      </c>
      <c r="D397" t="s">
        <v>10</v>
      </c>
      <c r="E397" t="s">
        <v>11</v>
      </c>
      <c r="F397">
        <v>1</v>
      </c>
      <c r="G397">
        <v>595.75</v>
      </c>
      <c r="H397">
        <v>148.38</v>
      </c>
    </row>
    <row r="398" spans="1:8" x14ac:dyDescent="0.3">
      <c r="A398" t="s">
        <v>421</v>
      </c>
      <c r="B398" s="1">
        <v>45928</v>
      </c>
      <c r="C398" t="s">
        <v>25</v>
      </c>
      <c r="D398" t="s">
        <v>20</v>
      </c>
      <c r="E398" t="s">
        <v>30</v>
      </c>
      <c r="F398">
        <v>2</v>
      </c>
      <c r="G398">
        <v>416.22</v>
      </c>
      <c r="H398">
        <v>108.32</v>
      </c>
    </row>
    <row r="399" spans="1:8" x14ac:dyDescent="0.3">
      <c r="A399" t="s">
        <v>422</v>
      </c>
      <c r="B399" s="1">
        <v>45796</v>
      </c>
      <c r="C399" t="s">
        <v>27</v>
      </c>
      <c r="D399" t="s">
        <v>17</v>
      </c>
      <c r="E399" t="s">
        <v>30</v>
      </c>
      <c r="F399">
        <v>8</v>
      </c>
      <c r="G399">
        <v>260.36</v>
      </c>
      <c r="H399">
        <v>56.47</v>
      </c>
    </row>
    <row r="400" spans="1:8" x14ac:dyDescent="0.3">
      <c r="A400" t="s">
        <v>423</v>
      </c>
      <c r="B400" s="1">
        <v>45749</v>
      </c>
      <c r="C400" t="s">
        <v>32</v>
      </c>
      <c r="D400" t="s">
        <v>17</v>
      </c>
      <c r="E400" t="s">
        <v>21</v>
      </c>
      <c r="F400">
        <v>1</v>
      </c>
      <c r="G400">
        <v>54.19</v>
      </c>
      <c r="H400">
        <v>6.58</v>
      </c>
    </row>
    <row r="401" spans="1:8" x14ac:dyDescent="0.3">
      <c r="A401" t="s">
        <v>424</v>
      </c>
      <c r="B401" s="1">
        <v>45697</v>
      </c>
      <c r="C401" t="s">
        <v>23</v>
      </c>
      <c r="D401" t="s">
        <v>17</v>
      </c>
      <c r="E401" t="s">
        <v>21</v>
      </c>
      <c r="F401">
        <v>7</v>
      </c>
      <c r="G401">
        <v>163.19</v>
      </c>
      <c r="H401">
        <v>20.9</v>
      </c>
    </row>
    <row r="402" spans="1:8" x14ac:dyDescent="0.3">
      <c r="A402" t="s">
        <v>425</v>
      </c>
      <c r="B402" s="1">
        <v>45854</v>
      </c>
      <c r="C402" t="s">
        <v>19</v>
      </c>
      <c r="D402" t="s">
        <v>20</v>
      </c>
      <c r="E402" t="s">
        <v>11</v>
      </c>
      <c r="F402">
        <v>6</v>
      </c>
      <c r="G402">
        <v>1904.58</v>
      </c>
      <c r="H402">
        <v>414.94</v>
      </c>
    </row>
    <row r="403" spans="1:8" x14ac:dyDescent="0.3">
      <c r="A403" t="s">
        <v>426</v>
      </c>
      <c r="B403" s="1">
        <v>45685</v>
      </c>
      <c r="C403" t="s">
        <v>9</v>
      </c>
      <c r="D403" t="s">
        <v>10</v>
      </c>
      <c r="E403" t="s">
        <v>30</v>
      </c>
      <c r="F403">
        <v>6</v>
      </c>
      <c r="G403">
        <v>1066.4100000000001</v>
      </c>
      <c r="H403">
        <v>264.19</v>
      </c>
    </row>
    <row r="404" spans="1:8" x14ac:dyDescent="0.3">
      <c r="A404" t="s">
        <v>427</v>
      </c>
      <c r="B404" s="1">
        <v>45825</v>
      </c>
      <c r="C404" t="s">
        <v>25</v>
      </c>
      <c r="D404" t="s">
        <v>20</v>
      </c>
      <c r="E404" t="s">
        <v>30</v>
      </c>
      <c r="F404">
        <v>7</v>
      </c>
      <c r="G404">
        <v>1581.31</v>
      </c>
      <c r="H404">
        <v>374.31</v>
      </c>
    </row>
    <row r="405" spans="1:8" x14ac:dyDescent="0.3">
      <c r="A405" t="s">
        <v>428</v>
      </c>
      <c r="B405" s="1">
        <v>45774</v>
      </c>
      <c r="C405" t="s">
        <v>39</v>
      </c>
      <c r="D405" t="s">
        <v>10</v>
      </c>
      <c r="E405" t="s">
        <v>21</v>
      </c>
      <c r="F405">
        <v>8</v>
      </c>
      <c r="G405">
        <v>1293.58</v>
      </c>
      <c r="H405">
        <v>200.62</v>
      </c>
    </row>
    <row r="406" spans="1:8" x14ac:dyDescent="0.3">
      <c r="A406" t="s">
        <v>429</v>
      </c>
      <c r="B406" s="1">
        <v>45701</v>
      </c>
      <c r="C406" t="s">
        <v>23</v>
      </c>
      <c r="D406" t="s">
        <v>17</v>
      </c>
      <c r="E406" t="s">
        <v>21</v>
      </c>
      <c r="F406">
        <v>7</v>
      </c>
      <c r="G406">
        <v>185.43</v>
      </c>
      <c r="H406">
        <v>41.28</v>
      </c>
    </row>
    <row r="407" spans="1:8" x14ac:dyDescent="0.3">
      <c r="A407" t="s">
        <v>430</v>
      </c>
      <c r="B407" s="1">
        <v>45736</v>
      </c>
      <c r="C407" t="s">
        <v>9</v>
      </c>
      <c r="D407" t="s">
        <v>10</v>
      </c>
      <c r="E407" t="s">
        <v>14</v>
      </c>
      <c r="F407">
        <v>5</v>
      </c>
      <c r="G407">
        <v>938.1</v>
      </c>
      <c r="H407">
        <v>193.98</v>
      </c>
    </row>
    <row r="408" spans="1:8" x14ac:dyDescent="0.3">
      <c r="A408" t="s">
        <v>431</v>
      </c>
      <c r="B408" s="1">
        <v>45842</v>
      </c>
      <c r="C408" t="s">
        <v>19</v>
      </c>
      <c r="D408" t="s">
        <v>20</v>
      </c>
      <c r="E408" t="s">
        <v>30</v>
      </c>
      <c r="F408">
        <v>6</v>
      </c>
      <c r="G408">
        <v>1652.95</v>
      </c>
      <c r="H408">
        <v>443.97</v>
      </c>
    </row>
    <row r="409" spans="1:8" x14ac:dyDescent="0.3">
      <c r="A409" t="s">
        <v>432</v>
      </c>
      <c r="B409" s="1">
        <v>45796</v>
      </c>
      <c r="C409" t="s">
        <v>39</v>
      </c>
      <c r="D409" t="s">
        <v>10</v>
      </c>
      <c r="E409" t="s">
        <v>30</v>
      </c>
      <c r="F409">
        <v>6</v>
      </c>
      <c r="G409">
        <v>889.44</v>
      </c>
      <c r="H409">
        <v>104.49</v>
      </c>
    </row>
    <row r="410" spans="1:8" x14ac:dyDescent="0.3">
      <c r="A410" t="s">
        <v>433</v>
      </c>
      <c r="B410" s="1">
        <v>45710</v>
      </c>
      <c r="C410" t="s">
        <v>39</v>
      </c>
      <c r="D410" t="s">
        <v>10</v>
      </c>
      <c r="E410" t="s">
        <v>30</v>
      </c>
      <c r="F410">
        <v>7</v>
      </c>
      <c r="G410">
        <v>1028.07</v>
      </c>
      <c r="H410">
        <v>196.2</v>
      </c>
    </row>
    <row r="411" spans="1:8" x14ac:dyDescent="0.3">
      <c r="A411" t="s">
        <v>434</v>
      </c>
      <c r="B411" s="1">
        <v>45855</v>
      </c>
      <c r="C411" t="s">
        <v>27</v>
      </c>
      <c r="D411" t="s">
        <v>17</v>
      </c>
      <c r="E411" t="s">
        <v>30</v>
      </c>
      <c r="F411">
        <v>6</v>
      </c>
      <c r="G411">
        <v>172.51</v>
      </c>
      <c r="H411">
        <v>27.18</v>
      </c>
    </row>
    <row r="412" spans="1:8" x14ac:dyDescent="0.3">
      <c r="A412" t="s">
        <v>435</v>
      </c>
      <c r="B412" s="1">
        <v>45950</v>
      </c>
      <c r="C412" t="s">
        <v>9</v>
      </c>
      <c r="D412" t="s">
        <v>10</v>
      </c>
      <c r="E412" t="s">
        <v>11</v>
      </c>
      <c r="F412">
        <v>4</v>
      </c>
      <c r="G412">
        <v>746.69</v>
      </c>
      <c r="H412">
        <v>85.05</v>
      </c>
    </row>
    <row r="413" spans="1:8" x14ac:dyDescent="0.3">
      <c r="A413" t="s">
        <v>436</v>
      </c>
      <c r="B413" s="1">
        <v>45795</v>
      </c>
      <c r="C413" t="s">
        <v>32</v>
      </c>
      <c r="D413" t="s">
        <v>17</v>
      </c>
      <c r="E413" t="s">
        <v>14</v>
      </c>
      <c r="F413">
        <v>5</v>
      </c>
      <c r="G413">
        <v>278.76</v>
      </c>
      <c r="H413">
        <v>31.62</v>
      </c>
    </row>
    <row r="414" spans="1:8" x14ac:dyDescent="0.3">
      <c r="A414" t="s">
        <v>437</v>
      </c>
      <c r="B414" s="1">
        <v>45811</v>
      </c>
      <c r="C414" t="s">
        <v>32</v>
      </c>
      <c r="D414" t="s">
        <v>17</v>
      </c>
      <c r="E414" t="s">
        <v>14</v>
      </c>
      <c r="F414">
        <v>7</v>
      </c>
      <c r="G414">
        <v>443.74</v>
      </c>
      <c r="H414">
        <v>67.55</v>
      </c>
    </row>
    <row r="415" spans="1:8" x14ac:dyDescent="0.3">
      <c r="A415" t="s">
        <v>438</v>
      </c>
      <c r="B415" s="1">
        <v>45962</v>
      </c>
      <c r="C415" t="s">
        <v>16</v>
      </c>
      <c r="D415" t="s">
        <v>17</v>
      </c>
      <c r="E415" t="s">
        <v>11</v>
      </c>
      <c r="F415">
        <v>8</v>
      </c>
      <c r="G415">
        <v>317.3</v>
      </c>
      <c r="H415">
        <v>33.979999999999997</v>
      </c>
    </row>
    <row r="416" spans="1:8" x14ac:dyDescent="0.3">
      <c r="A416" t="s">
        <v>439</v>
      </c>
      <c r="B416" s="1">
        <v>45828</v>
      </c>
      <c r="C416" t="s">
        <v>55</v>
      </c>
      <c r="D416" t="s">
        <v>10</v>
      </c>
      <c r="E416" t="s">
        <v>14</v>
      </c>
      <c r="F416">
        <v>7</v>
      </c>
      <c r="G416">
        <v>4826.71</v>
      </c>
      <c r="H416">
        <v>704.26</v>
      </c>
    </row>
    <row r="417" spans="1:8" x14ac:dyDescent="0.3">
      <c r="A417" t="s">
        <v>440</v>
      </c>
      <c r="B417" s="1">
        <v>45991</v>
      </c>
      <c r="C417" t="s">
        <v>25</v>
      </c>
      <c r="D417" t="s">
        <v>20</v>
      </c>
      <c r="E417" t="s">
        <v>11</v>
      </c>
      <c r="F417">
        <v>7</v>
      </c>
      <c r="G417">
        <v>1478.53</v>
      </c>
      <c r="H417">
        <v>296.66000000000003</v>
      </c>
    </row>
    <row r="418" spans="1:8" x14ac:dyDescent="0.3">
      <c r="A418" t="s">
        <v>441</v>
      </c>
      <c r="B418" s="1">
        <v>45818</v>
      </c>
      <c r="C418" t="s">
        <v>16</v>
      </c>
      <c r="D418" t="s">
        <v>17</v>
      </c>
      <c r="E418" t="s">
        <v>11</v>
      </c>
      <c r="F418">
        <v>8</v>
      </c>
      <c r="G418">
        <v>349.73</v>
      </c>
      <c r="H418">
        <v>95.74</v>
      </c>
    </row>
    <row r="419" spans="1:8" x14ac:dyDescent="0.3">
      <c r="A419" t="s">
        <v>442</v>
      </c>
      <c r="B419" s="1">
        <v>45952</v>
      </c>
      <c r="C419" t="s">
        <v>32</v>
      </c>
      <c r="D419" t="s">
        <v>17</v>
      </c>
      <c r="E419" t="s">
        <v>11</v>
      </c>
      <c r="F419">
        <v>8</v>
      </c>
      <c r="G419">
        <v>463.29</v>
      </c>
      <c r="H419">
        <v>63.04</v>
      </c>
    </row>
    <row r="420" spans="1:8" x14ac:dyDescent="0.3">
      <c r="A420" t="s">
        <v>443</v>
      </c>
      <c r="B420" s="1">
        <v>45716</v>
      </c>
      <c r="C420" t="s">
        <v>19</v>
      </c>
      <c r="D420" t="s">
        <v>20</v>
      </c>
      <c r="E420" t="s">
        <v>11</v>
      </c>
      <c r="F420">
        <v>6</v>
      </c>
      <c r="G420">
        <v>1833.2</v>
      </c>
      <c r="H420">
        <v>346.71</v>
      </c>
    </row>
    <row r="421" spans="1:8" x14ac:dyDescent="0.3">
      <c r="A421" t="s">
        <v>444</v>
      </c>
      <c r="B421" s="1">
        <v>45894</v>
      </c>
      <c r="C421" t="s">
        <v>13</v>
      </c>
      <c r="D421" t="s">
        <v>10</v>
      </c>
      <c r="E421" t="s">
        <v>11</v>
      </c>
      <c r="F421">
        <v>1</v>
      </c>
      <c r="G421">
        <v>74.08</v>
      </c>
      <c r="H421">
        <v>10.24</v>
      </c>
    </row>
    <row r="422" spans="1:8" x14ac:dyDescent="0.3">
      <c r="A422" t="s">
        <v>445</v>
      </c>
      <c r="B422" s="1">
        <v>46002</v>
      </c>
      <c r="C422" t="s">
        <v>9</v>
      </c>
      <c r="D422" t="s">
        <v>10</v>
      </c>
      <c r="E422" t="s">
        <v>14</v>
      </c>
      <c r="F422">
        <v>7</v>
      </c>
      <c r="G422">
        <v>1169.07</v>
      </c>
      <c r="H422">
        <v>164.33</v>
      </c>
    </row>
    <row r="423" spans="1:8" x14ac:dyDescent="0.3">
      <c r="A423" t="s">
        <v>446</v>
      </c>
      <c r="B423" s="1">
        <v>45874</v>
      </c>
      <c r="C423" t="s">
        <v>32</v>
      </c>
      <c r="D423" t="s">
        <v>17</v>
      </c>
      <c r="E423" t="s">
        <v>14</v>
      </c>
      <c r="F423">
        <v>3</v>
      </c>
      <c r="G423">
        <v>164.66</v>
      </c>
      <c r="H423">
        <v>45.8</v>
      </c>
    </row>
    <row r="424" spans="1:8" x14ac:dyDescent="0.3">
      <c r="A424" t="s">
        <v>447</v>
      </c>
      <c r="B424" s="1">
        <v>45931</v>
      </c>
      <c r="C424" t="s">
        <v>39</v>
      </c>
      <c r="D424" t="s">
        <v>10</v>
      </c>
      <c r="E424" t="s">
        <v>14</v>
      </c>
      <c r="F424">
        <v>7</v>
      </c>
      <c r="G424">
        <v>1129.78</v>
      </c>
      <c r="H424">
        <v>269.05</v>
      </c>
    </row>
    <row r="425" spans="1:8" x14ac:dyDescent="0.3">
      <c r="A425" t="s">
        <v>448</v>
      </c>
      <c r="B425" s="1">
        <v>45713</v>
      </c>
      <c r="C425" t="s">
        <v>25</v>
      </c>
      <c r="D425" t="s">
        <v>20</v>
      </c>
      <c r="E425" t="s">
        <v>11</v>
      </c>
      <c r="F425">
        <v>2</v>
      </c>
      <c r="G425">
        <v>453.87</v>
      </c>
      <c r="H425">
        <v>68.540000000000006</v>
      </c>
    </row>
    <row r="426" spans="1:8" x14ac:dyDescent="0.3">
      <c r="A426" t="s">
        <v>449</v>
      </c>
      <c r="B426" s="1">
        <v>45946</v>
      </c>
      <c r="C426" t="s">
        <v>27</v>
      </c>
      <c r="D426" t="s">
        <v>17</v>
      </c>
      <c r="E426" t="s">
        <v>14</v>
      </c>
      <c r="F426">
        <v>1</v>
      </c>
      <c r="G426">
        <v>32.799999999999997</v>
      </c>
      <c r="H426">
        <v>4.8</v>
      </c>
    </row>
    <row r="427" spans="1:8" x14ac:dyDescent="0.3">
      <c r="A427" t="s">
        <v>450</v>
      </c>
      <c r="B427" s="1">
        <v>45663</v>
      </c>
      <c r="C427" t="s">
        <v>19</v>
      </c>
      <c r="D427" t="s">
        <v>20</v>
      </c>
      <c r="E427" t="s">
        <v>30</v>
      </c>
      <c r="F427">
        <v>2</v>
      </c>
      <c r="G427">
        <v>571.04999999999995</v>
      </c>
      <c r="H427">
        <v>104.01</v>
      </c>
    </row>
    <row r="428" spans="1:8" x14ac:dyDescent="0.3">
      <c r="A428" t="s">
        <v>451</v>
      </c>
      <c r="B428" s="1">
        <v>45886</v>
      </c>
      <c r="C428" t="s">
        <v>13</v>
      </c>
      <c r="D428" t="s">
        <v>10</v>
      </c>
      <c r="E428" t="s">
        <v>21</v>
      </c>
      <c r="F428">
        <v>4</v>
      </c>
      <c r="G428">
        <v>293.47000000000003</v>
      </c>
      <c r="H428">
        <v>68.81</v>
      </c>
    </row>
    <row r="429" spans="1:8" x14ac:dyDescent="0.3">
      <c r="A429" t="s">
        <v>452</v>
      </c>
      <c r="B429" s="1">
        <v>45834</v>
      </c>
      <c r="C429" t="s">
        <v>27</v>
      </c>
      <c r="D429" t="s">
        <v>17</v>
      </c>
      <c r="E429" t="s">
        <v>30</v>
      </c>
      <c r="F429">
        <v>3</v>
      </c>
      <c r="G429">
        <v>89.69</v>
      </c>
      <c r="H429">
        <v>12.47</v>
      </c>
    </row>
    <row r="430" spans="1:8" x14ac:dyDescent="0.3">
      <c r="A430" t="s">
        <v>453</v>
      </c>
      <c r="B430" s="1">
        <v>45730</v>
      </c>
      <c r="C430" t="s">
        <v>9</v>
      </c>
      <c r="D430" t="s">
        <v>10</v>
      </c>
      <c r="E430" t="s">
        <v>21</v>
      </c>
      <c r="F430">
        <v>2</v>
      </c>
      <c r="G430">
        <v>346.46</v>
      </c>
      <c r="H430">
        <v>59.27</v>
      </c>
    </row>
    <row r="431" spans="1:8" x14ac:dyDescent="0.3">
      <c r="A431" t="s">
        <v>454</v>
      </c>
      <c r="B431" s="1">
        <v>45836</v>
      </c>
      <c r="C431" t="s">
        <v>16</v>
      </c>
      <c r="D431" t="s">
        <v>17</v>
      </c>
      <c r="E431" t="s">
        <v>14</v>
      </c>
      <c r="F431">
        <v>8</v>
      </c>
      <c r="G431">
        <v>294.25</v>
      </c>
      <c r="H431">
        <v>66.03</v>
      </c>
    </row>
    <row r="432" spans="1:8" x14ac:dyDescent="0.3">
      <c r="A432" t="s">
        <v>455</v>
      </c>
      <c r="B432" s="1">
        <v>45692</v>
      </c>
      <c r="C432" t="s">
        <v>39</v>
      </c>
      <c r="D432" t="s">
        <v>10</v>
      </c>
      <c r="E432" t="s">
        <v>21</v>
      </c>
      <c r="F432">
        <v>6</v>
      </c>
      <c r="G432">
        <v>872.58</v>
      </c>
      <c r="H432">
        <v>193.85</v>
      </c>
    </row>
    <row r="433" spans="1:8" x14ac:dyDescent="0.3">
      <c r="A433" t="s">
        <v>456</v>
      </c>
      <c r="B433" s="1">
        <v>45989</v>
      </c>
      <c r="C433" t="s">
        <v>55</v>
      </c>
      <c r="D433" t="s">
        <v>10</v>
      </c>
      <c r="E433" t="s">
        <v>30</v>
      </c>
      <c r="F433">
        <v>6</v>
      </c>
      <c r="G433">
        <v>4038.17</v>
      </c>
      <c r="H433">
        <v>455.79</v>
      </c>
    </row>
    <row r="434" spans="1:8" x14ac:dyDescent="0.3">
      <c r="A434" t="s">
        <v>457</v>
      </c>
      <c r="B434" s="1">
        <v>45940</v>
      </c>
      <c r="C434" t="s">
        <v>16</v>
      </c>
      <c r="D434" t="s">
        <v>17</v>
      </c>
      <c r="E434" t="s">
        <v>11</v>
      </c>
      <c r="F434">
        <v>3</v>
      </c>
      <c r="G434">
        <v>115.94</v>
      </c>
      <c r="H434">
        <v>19.16</v>
      </c>
    </row>
    <row r="435" spans="1:8" x14ac:dyDescent="0.3">
      <c r="A435" t="s">
        <v>458</v>
      </c>
      <c r="B435" s="1">
        <v>45865</v>
      </c>
      <c r="C435" t="s">
        <v>39</v>
      </c>
      <c r="D435" t="s">
        <v>10</v>
      </c>
      <c r="E435" t="s">
        <v>11</v>
      </c>
      <c r="F435">
        <v>4</v>
      </c>
      <c r="G435">
        <v>599.86</v>
      </c>
      <c r="H435">
        <v>126.85</v>
      </c>
    </row>
    <row r="436" spans="1:8" x14ac:dyDescent="0.3">
      <c r="A436" t="s">
        <v>459</v>
      </c>
      <c r="B436" s="1">
        <v>45972</v>
      </c>
      <c r="C436" t="s">
        <v>19</v>
      </c>
      <c r="D436" t="s">
        <v>20</v>
      </c>
      <c r="E436" t="s">
        <v>11</v>
      </c>
      <c r="F436">
        <v>1</v>
      </c>
      <c r="G436">
        <v>296.97000000000003</v>
      </c>
      <c r="H436">
        <v>49.27</v>
      </c>
    </row>
    <row r="437" spans="1:8" x14ac:dyDescent="0.3">
      <c r="A437" t="s">
        <v>460</v>
      </c>
      <c r="B437" s="1">
        <v>45763</v>
      </c>
      <c r="C437" t="s">
        <v>55</v>
      </c>
      <c r="D437" t="s">
        <v>10</v>
      </c>
      <c r="E437" t="s">
        <v>21</v>
      </c>
      <c r="F437">
        <v>4</v>
      </c>
      <c r="G437">
        <v>2731.21</v>
      </c>
      <c r="H437">
        <v>660.26</v>
      </c>
    </row>
    <row r="438" spans="1:8" x14ac:dyDescent="0.3">
      <c r="A438" t="s">
        <v>461</v>
      </c>
      <c r="B438" s="1">
        <v>45932</v>
      </c>
      <c r="C438" t="s">
        <v>9</v>
      </c>
      <c r="D438" t="s">
        <v>10</v>
      </c>
      <c r="E438" t="s">
        <v>11</v>
      </c>
      <c r="F438">
        <v>2</v>
      </c>
      <c r="G438">
        <v>350.34</v>
      </c>
      <c r="H438">
        <v>41.84</v>
      </c>
    </row>
    <row r="439" spans="1:8" x14ac:dyDescent="0.3">
      <c r="A439" t="s">
        <v>462</v>
      </c>
      <c r="B439" s="1">
        <v>46001</v>
      </c>
      <c r="C439" t="s">
        <v>9</v>
      </c>
      <c r="D439" t="s">
        <v>10</v>
      </c>
      <c r="E439" t="s">
        <v>14</v>
      </c>
      <c r="F439">
        <v>5</v>
      </c>
      <c r="G439">
        <v>904.99</v>
      </c>
      <c r="H439">
        <v>188.08</v>
      </c>
    </row>
    <row r="440" spans="1:8" x14ac:dyDescent="0.3">
      <c r="A440" t="s">
        <v>463</v>
      </c>
      <c r="B440" s="1">
        <v>45970</v>
      </c>
      <c r="C440" t="s">
        <v>27</v>
      </c>
      <c r="D440" t="s">
        <v>17</v>
      </c>
      <c r="E440" t="s">
        <v>14</v>
      </c>
      <c r="F440">
        <v>7</v>
      </c>
      <c r="G440">
        <v>213.65</v>
      </c>
      <c r="H440">
        <v>31.96</v>
      </c>
    </row>
    <row r="441" spans="1:8" x14ac:dyDescent="0.3">
      <c r="A441" t="s">
        <v>464</v>
      </c>
      <c r="B441" s="1">
        <v>46002</v>
      </c>
      <c r="C441" t="s">
        <v>39</v>
      </c>
      <c r="D441" t="s">
        <v>10</v>
      </c>
      <c r="E441" t="s">
        <v>21</v>
      </c>
      <c r="F441">
        <v>3</v>
      </c>
      <c r="G441">
        <v>520.19000000000005</v>
      </c>
      <c r="H441">
        <v>103.02</v>
      </c>
    </row>
    <row r="442" spans="1:8" x14ac:dyDescent="0.3">
      <c r="A442" t="s">
        <v>465</v>
      </c>
      <c r="B442" s="1">
        <v>45718</v>
      </c>
      <c r="C442" t="s">
        <v>23</v>
      </c>
      <c r="D442" t="s">
        <v>17</v>
      </c>
      <c r="E442" t="s">
        <v>11</v>
      </c>
      <c r="F442">
        <v>6</v>
      </c>
      <c r="G442">
        <v>144.16</v>
      </c>
      <c r="H442">
        <v>16.809999999999999</v>
      </c>
    </row>
    <row r="443" spans="1:8" x14ac:dyDescent="0.3">
      <c r="A443" t="s">
        <v>466</v>
      </c>
      <c r="B443" s="1">
        <v>45872</v>
      </c>
      <c r="C443" t="s">
        <v>23</v>
      </c>
      <c r="D443" t="s">
        <v>17</v>
      </c>
      <c r="E443" t="s">
        <v>11</v>
      </c>
      <c r="F443">
        <v>7</v>
      </c>
      <c r="G443">
        <v>177.62</v>
      </c>
      <c r="H443">
        <v>29.24</v>
      </c>
    </row>
    <row r="444" spans="1:8" x14ac:dyDescent="0.3">
      <c r="A444" t="s">
        <v>467</v>
      </c>
      <c r="B444" s="1">
        <v>45942</v>
      </c>
      <c r="C444" t="s">
        <v>39</v>
      </c>
      <c r="D444" t="s">
        <v>10</v>
      </c>
      <c r="E444" t="s">
        <v>11</v>
      </c>
      <c r="F444">
        <v>3</v>
      </c>
      <c r="G444">
        <v>479.01</v>
      </c>
      <c r="H444">
        <v>51.76</v>
      </c>
    </row>
    <row r="445" spans="1:8" x14ac:dyDescent="0.3">
      <c r="A445" t="s">
        <v>468</v>
      </c>
      <c r="B445" s="1">
        <v>45975</v>
      </c>
      <c r="C445" t="s">
        <v>25</v>
      </c>
      <c r="D445" t="s">
        <v>20</v>
      </c>
      <c r="E445" t="s">
        <v>30</v>
      </c>
      <c r="F445">
        <v>8</v>
      </c>
      <c r="G445">
        <v>1888.66</v>
      </c>
      <c r="H445">
        <v>510.63</v>
      </c>
    </row>
    <row r="446" spans="1:8" x14ac:dyDescent="0.3">
      <c r="A446" t="s">
        <v>469</v>
      </c>
      <c r="B446" s="1">
        <v>45757</v>
      </c>
      <c r="C446" t="s">
        <v>39</v>
      </c>
      <c r="D446" t="s">
        <v>10</v>
      </c>
      <c r="E446" t="s">
        <v>14</v>
      </c>
      <c r="F446">
        <v>3</v>
      </c>
      <c r="G446">
        <v>524.53</v>
      </c>
      <c r="H446">
        <v>94.99</v>
      </c>
    </row>
    <row r="447" spans="1:8" x14ac:dyDescent="0.3">
      <c r="A447" t="s">
        <v>470</v>
      </c>
      <c r="B447" s="1">
        <v>46008</v>
      </c>
      <c r="C447" t="s">
        <v>39</v>
      </c>
      <c r="D447" t="s">
        <v>10</v>
      </c>
      <c r="E447" t="s">
        <v>14</v>
      </c>
      <c r="F447">
        <v>7</v>
      </c>
      <c r="G447">
        <v>1101.0999999999999</v>
      </c>
      <c r="H447">
        <v>273.05</v>
      </c>
    </row>
    <row r="448" spans="1:8" x14ac:dyDescent="0.3">
      <c r="A448" t="s">
        <v>471</v>
      </c>
      <c r="B448" s="1">
        <v>45700</v>
      </c>
      <c r="C448" t="s">
        <v>39</v>
      </c>
      <c r="D448" t="s">
        <v>10</v>
      </c>
      <c r="E448" t="s">
        <v>30</v>
      </c>
      <c r="F448">
        <v>3</v>
      </c>
      <c r="G448">
        <v>508.4</v>
      </c>
      <c r="H448">
        <v>63.1</v>
      </c>
    </row>
    <row r="449" spans="1:8" x14ac:dyDescent="0.3">
      <c r="A449" t="s">
        <v>472</v>
      </c>
      <c r="B449" s="1">
        <v>45773</v>
      </c>
      <c r="C449" t="s">
        <v>55</v>
      </c>
      <c r="D449" t="s">
        <v>10</v>
      </c>
      <c r="E449" t="s">
        <v>21</v>
      </c>
      <c r="F449">
        <v>5</v>
      </c>
      <c r="G449">
        <v>3034.34</v>
      </c>
      <c r="H449">
        <v>520.28</v>
      </c>
    </row>
    <row r="450" spans="1:8" x14ac:dyDescent="0.3">
      <c r="A450" t="s">
        <v>473</v>
      </c>
      <c r="B450" s="1">
        <v>45951</v>
      </c>
      <c r="C450" t="s">
        <v>39</v>
      </c>
      <c r="D450" t="s">
        <v>10</v>
      </c>
      <c r="E450" t="s">
        <v>30</v>
      </c>
      <c r="F450">
        <v>2</v>
      </c>
      <c r="G450">
        <v>305.14</v>
      </c>
      <c r="H450">
        <v>57.56</v>
      </c>
    </row>
    <row r="451" spans="1:8" x14ac:dyDescent="0.3">
      <c r="A451" t="s">
        <v>474</v>
      </c>
      <c r="B451" s="1">
        <v>45883</v>
      </c>
      <c r="C451" t="s">
        <v>25</v>
      </c>
      <c r="D451" t="s">
        <v>20</v>
      </c>
      <c r="E451" t="s">
        <v>11</v>
      </c>
      <c r="F451">
        <v>1</v>
      </c>
      <c r="G451">
        <v>241.55</v>
      </c>
      <c r="H451">
        <v>24.27</v>
      </c>
    </row>
    <row r="452" spans="1:8" x14ac:dyDescent="0.3">
      <c r="A452" t="s">
        <v>475</v>
      </c>
      <c r="B452" s="1">
        <v>45674</v>
      </c>
      <c r="C452" t="s">
        <v>16</v>
      </c>
      <c r="D452" t="s">
        <v>17</v>
      </c>
      <c r="E452" t="s">
        <v>14</v>
      </c>
      <c r="F452">
        <v>5</v>
      </c>
      <c r="G452">
        <v>190.51</v>
      </c>
      <c r="H452">
        <v>48.09</v>
      </c>
    </row>
    <row r="453" spans="1:8" x14ac:dyDescent="0.3">
      <c r="A453" t="s">
        <v>476</v>
      </c>
      <c r="B453" s="1">
        <v>45718</v>
      </c>
      <c r="C453" t="s">
        <v>9</v>
      </c>
      <c r="D453" t="s">
        <v>10</v>
      </c>
      <c r="E453" t="s">
        <v>11</v>
      </c>
      <c r="F453">
        <v>8</v>
      </c>
      <c r="G453">
        <v>1356.44</v>
      </c>
      <c r="H453">
        <v>308.62</v>
      </c>
    </row>
    <row r="454" spans="1:8" x14ac:dyDescent="0.3">
      <c r="A454" t="s">
        <v>477</v>
      </c>
      <c r="B454" s="1">
        <v>45742</v>
      </c>
      <c r="C454" t="s">
        <v>25</v>
      </c>
      <c r="D454" t="s">
        <v>20</v>
      </c>
      <c r="E454" t="s">
        <v>11</v>
      </c>
      <c r="F454">
        <v>7</v>
      </c>
      <c r="G454">
        <v>1627.73</v>
      </c>
      <c r="H454">
        <v>395.06</v>
      </c>
    </row>
    <row r="455" spans="1:8" x14ac:dyDescent="0.3">
      <c r="A455" t="s">
        <v>478</v>
      </c>
      <c r="B455" s="1">
        <v>45930</v>
      </c>
      <c r="C455" t="s">
        <v>55</v>
      </c>
      <c r="D455" t="s">
        <v>10</v>
      </c>
      <c r="E455" t="s">
        <v>21</v>
      </c>
      <c r="F455">
        <v>6</v>
      </c>
      <c r="G455">
        <v>3975.55</v>
      </c>
      <c r="H455">
        <v>451.92</v>
      </c>
    </row>
    <row r="456" spans="1:8" x14ac:dyDescent="0.3">
      <c r="A456" t="s">
        <v>479</v>
      </c>
      <c r="B456" s="1">
        <v>45951</v>
      </c>
      <c r="C456" t="s">
        <v>32</v>
      </c>
      <c r="D456" t="s">
        <v>17</v>
      </c>
      <c r="E456" t="s">
        <v>21</v>
      </c>
      <c r="F456">
        <v>5</v>
      </c>
      <c r="G456">
        <v>327.14</v>
      </c>
      <c r="H456">
        <v>59.83</v>
      </c>
    </row>
    <row r="457" spans="1:8" x14ac:dyDescent="0.3">
      <c r="A457" t="s">
        <v>480</v>
      </c>
      <c r="B457" s="1">
        <v>45868</v>
      </c>
      <c r="C457" t="s">
        <v>9</v>
      </c>
      <c r="D457" t="s">
        <v>10</v>
      </c>
      <c r="E457" t="s">
        <v>30</v>
      </c>
      <c r="F457">
        <v>3</v>
      </c>
      <c r="G457">
        <v>593.19000000000005</v>
      </c>
      <c r="H457">
        <v>150.32</v>
      </c>
    </row>
    <row r="458" spans="1:8" x14ac:dyDescent="0.3">
      <c r="A458" t="s">
        <v>481</v>
      </c>
      <c r="B458" s="1">
        <v>45785</v>
      </c>
      <c r="C458" t="s">
        <v>23</v>
      </c>
      <c r="D458" t="s">
        <v>17</v>
      </c>
      <c r="E458" t="s">
        <v>11</v>
      </c>
      <c r="F458">
        <v>3</v>
      </c>
      <c r="G458">
        <v>78.17</v>
      </c>
      <c r="H458">
        <v>19.21</v>
      </c>
    </row>
    <row r="459" spans="1:8" x14ac:dyDescent="0.3">
      <c r="A459" t="s">
        <v>482</v>
      </c>
      <c r="B459" s="1">
        <v>45730</v>
      </c>
      <c r="C459" t="s">
        <v>19</v>
      </c>
      <c r="D459" t="s">
        <v>20</v>
      </c>
      <c r="E459" t="s">
        <v>21</v>
      </c>
      <c r="F459">
        <v>8</v>
      </c>
      <c r="G459">
        <v>2461.35</v>
      </c>
      <c r="H459">
        <v>381.59</v>
      </c>
    </row>
    <row r="460" spans="1:8" x14ac:dyDescent="0.3">
      <c r="A460" t="s">
        <v>483</v>
      </c>
      <c r="B460" s="1">
        <v>45864</v>
      </c>
      <c r="C460" t="s">
        <v>9</v>
      </c>
      <c r="D460" t="s">
        <v>10</v>
      </c>
      <c r="E460" t="s">
        <v>21</v>
      </c>
      <c r="F460">
        <v>2</v>
      </c>
      <c r="G460">
        <v>374.02</v>
      </c>
      <c r="H460">
        <v>95.55</v>
      </c>
    </row>
    <row r="461" spans="1:8" x14ac:dyDescent="0.3">
      <c r="A461" t="s">
        <v>484</v>
      </c>
      <c r="B461" s="1">
        <v>45825</v>
      </c>
      <c r="C461" t="s">
        <v>39</v>
      </c>
      <c r="D461" t="s">
        <v>10</v>
      </c>
      <c r="E461" t="s">
        <v>30</v>
      </c>
      <c r="F461">
        <v>8</v>
      </c>
      <c r="G461">
        <v>1374.44</v>
      </c>
      <c r="H461">
        <v>342.83</v>
      </c>
    </row>
    <row r="462" spans="1:8" x14ac:dyDescent="0.3">
      <c r="A462" t="s">
        <v>485</v>
      </c>
      <c r="B462" s="1">
        <v>45983</v>
      </c>
      <c r="C462" t="s">
        <v>9</v>
      </c>
      <c r="D462" t="s">
        <v>10</v>
      </c>
      <c r="E462" t="s">
        <v>21</v>
      </c>
      <c r="F462">
        <v>8</v>
      </c>
      <c r="G462">
        <v>1540.83</v>
      </c>
      <c r="H462">
        <v>368.47</v>
      </c>
    </row>
    <row r="463" spans="1:8" x14ac:dyDescent="0.3">
      <c r="A463" t="s">
        <v>486</v>
      </c>
      <c r="B463" s="1">
        <v>45877</v>
      </c>
      <c r="C463" t="s">
        <v>19</v>
      </c>
      <c r="D463" t="s">
        <v>20</v>
      </c>
      <c r="E463" t="s">
        <v>11</v>
      </c>
      <c r="F463">
        <v>4</v>
      </c>
      <c r="G463">
        <v>1198.73</v>
      </c>
      <c r="H463">
        <v>173.3</v>
      </c>
    </row>
    <row r="464" spans="1:8" x14ac:dyDescent="0.3">
      <c r="A464" t="s">
        <v>487</v>
      </c>
      <c r="B464" s="1">
        <v>45938</v>
      </c>
      <c r="C464" t="s">
        <v>32</v>
      </c>
      <c r="D464" t="s">
        <v>17</v>
      </c>
      <c r="E464" t="s">
        <v>11</v>
      </c>
      <c r="F464">
        <v>6</v>
      </c>
      <c r="G464">
        <v>364.76</v>
      </c>
      <c r="H464">
        <v>64.59</v>
      </c>
    </row>
    <row r="465" spans="1:8" x14ac:dyDescent="0.3">
      <c r="A465" t="s">
        <v>488</v>
      </c>
      <c r="B465" s="1">
        <v>45681</v>
      </c>
      <c r="C465" t="s">
        <v>25</v>
      </c>
      <c r="D465" t="s">
        <v>20</v>
      </c>
      <c r="E465" t="s">
        <v>30</v>
      </c>
      <c r="F465">
        <v>1</v>
      </c>
      <c r="G465">
        <v>225.55</v>
      </c>
      <c r="H465">
        <v>55.79</v>
      </c>
    </row>
    <row r="466" spans="1:8" x14ac:dyDescent="0.3">
      <c r="A466" t="s">
        <v>489</v>
      </c>
      <c r="B466" s="1">
        <v>45738</v>
      </c>
      <c r="C466" t="s">
        <v>55</v>
      </c>
      <c r="D466" t="s">
        <v>10</v>
      </c>
      <c r="E466" t="s">
        <v>14</v>
      </c>
      <c r="F466">
        <v>2</v>
      </c>
      <c r="G466">
        <v>1288.69</v>
      </c>
      <c r="H466">
        <v>358.73</v>
      </c>
    </row>
    <row r="467" spans="1:8" x14ac:dyDescent="0.3">
      <c r="A467" t="s">
        <v>490</v>
      </c>
      <c r="B467" s="1">
        <v>46010</v>
      </c>
      <c r="C467" t="s">
        <v>19</v>
      </c>
      <c r="D467" t="s">
        <v>20</v>
      </c>
      <c r="E467" t="s">
        <v>11</v>
      </c>
      <c r="F467">
        <v>4</v>
      </c>
      <c r="G467">
        <v>1291.72</v>
      </c>
      <c r="H467">
        <v>181.32</v>
      </c>
    </row>
    <row r="468" spans="1:8" x14ac:dyDescent="0.3">
      <c r="A468" t="s">
        <v>491</v>
      </c>
      <c r="B468" s="1">
        <v>45993</v>
      </c>
      <c r="C468" t="s">
        <v>32</v>
      </c>
      <c r="D468" t="s">
        <v>17</v>
      </c>
      <c r="E468" t="s">
        <v>21</v>
      </c>
      <c r="F468">
        <v>2</v>
      </c>
      <c r="G468">
        <v>114.01</v>
      </c>
      <c r="H468">
        <v>17.600000000000001</v>
      </c>
    </row>
    <row r="469" spans="1:8" x14ac:dyDescent="0.3">
      <c r="A469" t="s">
        <v>492</v>
      </c>
      <c r="B469" s="1">
        <v>45860</v>
      </c>
      <c r="C469" t="s">
        <v>23</v>
      </c>
      <c r="D469" t="s">
        <v>17</v>
      </c>
      <c r="E469" t="s">
        <v>21</v>
      </c>
      <c r="F469">
        <v>1</v>
      </c>
      <c r="G469">
        <v>26.13</v>
      </c>
      <c r="H469">
        <v>6.04</v>
      </c>
    </row>
    <row r="470" spans="1:8" x14ac:dyDescent="0.3">
      <c r="A470" t="s">
        <v>493</v>
      </c>
      <c r="B470" s="1">
        <v>46018</v>
      </c>
      <c r="C470" t="s">
        <v>19</v>
      </c>
      <c r="D470" t="s">
        <v>20</v>
      </c>
      <c r="E470" t="s">
        <v>30</v>
      </c>
      <c r="F470">
        <v>2</v>
      </c>
      <c r="G470">
        <v>540.13</v>
      </c>
      <c r="H470">
        <v>94.72</v>
      </c>
    </row>
    <row r="471" spans="1:8" x14ac:dyDescent="0.3">
      <c r="A471" t="s">
        <v>494</v>
      </c>
      <c r="B471" s="1">
        <v>45923</v>
      </c>
      <c r="C471" t="s">
        <v>23</v>
      </c>
      <c r="D471" t="s">
        <v>17</v>
      </c>
      <c r="E471" t="s">
        <v>14</v>
      </c>
      <c r="F471">
        <v>4</v>
      </c>
      <c r="G471">
        <v>90.19</v>
      </c>
      <c r="H471">
        <v>19.760000000000002</v>
      </c>
    </row>
    <row r="472" spans="1:8" x14ac:dyDescent="0.3">
      <c r="A472" t="s">
        <v>495</v>
      </c>
      <c r="B472" s="1">
        <v>46013</v>
      </c>
      <c r="C472" t="s">
        <v>9</v>
      </c>
      <c r="D472" t="s">
        <v>10</v>
      </c>
      <c r="E472" t="s">
        <v>11</v>
      </c>
      <c r="F472">
        <v>7</v>
      </c>
      <c r="G472">
        <v>1254.3800000000001</v>
      </c>
      <c r="H472">
        <v>157.79</v>
      </c>
    </row>
    <row r="473" spans="1:8" x14ac:dyDescent="0.3">
      <c r="A473" t="s">
        <v>496</v>
      </c>
      <c r="B473" s="1">
        <v>45710</v>
      </c>
      <c r="C473" t="s">
        <v>9</v>
      </c>
      <c r="D473" t="s">
        <v>10</v>
      </c>
      <c r="E473" t="s">
        <v>21</v>
      </c>
      <c r="F473">
        <v>2</v>
      </c>
      <c r="G473">
        <v>350.46</v>
      </c>
      <c r="H473">
        <v>49.01</v>
      </c>
    </row>
    <row r="474" spans="1:8" x14ac:dyDescent="0.3">
      <c r="A474" t="s">
        <v>497</v>
      </c>
      <c r="B474" s="1">
        <v>45986</v>
      </c>
      <c r="C474" t="s">
        <v>19</v>
      </c>
      <c r="D474" t="s">
        <v>20</v>
      </c>
      <c r="E474" t="s">
        <v>11</v>
      </c>
      <c r="F474">
        <v>3</v>
      </c>
      <c r="G474">
        <v>822.31</v>
      </c>
      <c r="H474">
        <v>158.41999999999999</v>
      </c>
    </row>
    <row r="475" spans="1:8" x14ac:dyDescent="0.3">
      <c r="A475" t="s">
        <v>498</v>
      </c>
      <c r="B475" s="1">
        <v>45883</v>
      </c>
      <c r="C475" t="s">
        <v>27</v>
      </c>
      <c r="D475" t="s">
        <v>17</v>
      </c>
      <c r="E475" t="s">
        <v>21</v>
      </c>
      <c r="F475">
        <v>3</v>
      </c>
      <c r="G475">
        <v>94</v>
      </c>
      <c r="H475">
        <v>19.329999999999998</v>
      </c>
    </row>
    <row r="476" spans="1:8" x14ac:dyDescent="0.3">
      <c r="A476" t="s">
        <v>499</v>
      </c>
      <c r="B476" s="1">
        <v>45973</v>
      </c>
      <c r="C476" t="s">
        <v>23</v>
      </c>
      <c r="D476" t="s">
        <v>17</v>
      </c>
      <c r="E476" t="s">
        <v>14</v>
      </c>
      <c r="F476">
        <v>7</v>
      </c>
      <c r="G476">
        <v>187.6</v>
      </c>
      <c r="H476">
        <v>18.260000000000002</v>
      </c>
    </row>
    <row r="477" spans="1:8" x14ac:dyDescent="0.3">
      <c r="A477" t="s">
        <v>500</v>
      </c>
      <c r="B477" s="1">
        <v>45721</v>
      </c>
      <c r="C477" t="s">
        <v>9</v>
      </c>
      <c r="D477" t="s">
        <v>10</v>
      </c>
      <c r="E477" t="s">
        <v>14</v>
      </c>
      <c r="F477">
        <v>3</v>
      </c>
      <c r="G477">
        <v>523.97</v>
      </c>
      <c r="H477">
        <v>86.91</v>
      </c>
    </row>
    <row r="478" spans="1:8" x14ac:dyDescent="0.3">
      <c r="A478" t="s">
        <v>501</v>
      </c>
      <c r="B478" s="1">
        <v>45799</v>
      </c>
      <c r="C478" t="s">
        <v>23</v>
      </c>
      <c r="D478" t="s">
        <v>17</v>
      </c>
      <c r="E478" t="s">
        <v>30</v>
      </c>
      <c r="F478">
        <v>4</v>
      </c>
      <c r="G478">
        <v>94.96</v>
      </c>
      <c r="H478">
        <v>19.010000000000002</v>
      </c>
    </row>
    <row r="479" spans="1:8" x14ac:dyDescent="0.3">
      <c r="A479" t="s">
        <v>502</v>
      </c>
      <c r="B479" s="1">
        <v>46011</v>
      </c>
      <c r="C479" t="s">
        <v>27</v>
      </c>
      <c r="D479" t="s">
        <v>17</v>
      </c>
      <c r="E479" t="s">
        <v>30</v>
      </c>
      <c r="F479">
        <v>5</v>
      </c>
      <c r="G479">
        <v>160.44</v>
      </c>
      <c r="H479">
        <v>33.96</v>
      </c>
    </row>
    <row r="480" spans="1:8" x14ac:dyDescent="0.3">
      <c r="A480" t="s">
        <v>503</v>
      </c>
      <c r="B480" s="1">
        <v>45923</v>
      </c>
      <c r="C480" t="s">
        <v>32</v>
      </c>
      <c r="D480" t="s">
        <v>17</v>
      </c>
      <c r="E480" t="s">
        <v>11</v>
      </c>
      <c r="F480">
        <v>4</v>
      </c>
      <c r="G480">
        <v>251.9</v>
      </c>
      <c r="H480">
        <v>35.04</v>
      </c>
    </row>
    <row r="481" spans="1:8" x14ac:dyDescent="0.3">
      <c r="A481" t="s">
        <v>504</v>
      </c>
      <c r="B481" s="1">
        <v>45911</v>
      </c>
      <c r="C481" t="s">
        <v>55</v>
      </c>
      <c r="D481" t="s">
        <v>10</v>
      </c>
      <c r="E481" t="s">
        <v>14</v>
      </c>
      <c r="F481">
        <v>4</v>
      </c>
      <c r="G481">
        <v>2398.63</v>
      </c>
      <c r="H481">
        <v>431.55</v>
      </c>
    </row>
    <row r="482" spans="1:8" x14ac:dyDescent="0.3">
      <c r="A482" t="s">
        <v>505</v>
      </c>
      <c r="B482" s="1">
        <v>45928</v>
      </c>
      <c r="C482" t="s">
        <v>27</v>
      </c>
      <c r="D482" t="s">
        <v>17</v>
      </c>
      <c r="E482" t="s">
        <v>30</v>
      </c>
      <c r="F482">
        <v>2</v>
      </c>
      <c r="G482">
        <v>65.84</v>
      </c>
      <c r="H482">
        <v>17.57</v>
      </c>
    </row>
    <row r="483" spans="1:8" x14ac:dyDescent="0.3">
      <c r="A483" t="s">
        <v>506</v>
      </c>
      <c r="B483" s="1">
        <v>45949</v>
      </c>
      <c r="C483" t="s">
        <v>23</v>
      </c>
      <c r="D483" t="s">
        <v>17</v>
      </c>
      <c r="E483" t="s">
        <v>14</v>
      </c>
      <c r="F483">
        <v>7</v>
      </c>
      <c r="G483">
        <v>170.29</v>
      </c>
      <c r="H483">
        <v>36.880000000000003</v>
      </c>
    </row>
    <row r="484" spans="1:8" x14ac:dyDescent="0.3">
      <c r="A484" t="s">
        <v>507</v>
      </c>
      <c r="B484" s="1">
        <v>45666</v>
      </c>
      <c r="C484" t="s">
        <v>39</v>
      </c>
      <c r="D484" t="s">
        <v>10</v>
      </c>
      <c r="E484" t="s">
        <v>30</v>
      </c>
      <c r="F484">
        <v>2</v>
      </c>
      <c r="G484">
        <v>288.88</v>
      </c>
      <c r="H484">
        <v>35.58</v>
      </c>
    </row>
    <row r="485" spans="1:8" x14ac:dyDescent="0.3">
      <c r="A485" t="s">
        <v>508</v>
      </c>
      <c r="B485" s="1">
        <v>45917</v>
      </c>
      <c r="C485" t="s">
        <v>55</v>
      </c>
      <c r="D485" t="s">
        <v>10</v>
      </c>
      <c r="E485" t="s">
        <v>21</v>
      </c>
      <c r="F485">
        <v>7</v>
      </c>
      <c r="G485">
        <v>4667</v>
      </c>
      <c r="H485">
        <v>841.04</v>
      </c>
    </row>
    <row r="486" spans="1:8" x14ac:dyDescent="0.3">
      <c r="A486" t="s">
        <v>509</v>
      </c>
      <c r="B486" s="1">
        <v>46017</v>
      </c>
      <c r="C486" t="s">
        <v>19</v>
      </c>
      <c r="D486" t="s">
        <v>20</v>
      </c>
      <c r="E486" t="s">
        <v>14</v>
      </c>
      <c r="F486">
        <v>7</v>
      </c>
      <c r="G486">
        <v>1924.62</v>
      </c>
      <c r="H486">
        <v>360.51</v>
      </c>
    </row>
    <row r="487" spans="1:8" x14ac:dyDescent="0.3">
      <c r="A487" t="s">
        <v>510</v>
      </c>
      <c r="B487" s="1">
        <v>45800</v>
      </c>
      <c r="C487" t="s">
        <v>27</v>
      </c>
      <c r="D487" t="s">
        <v>17</v>
      </c>
      <c r="E487" t="s">
        <v>30</v>
      </c>
      <c r="F487">
        <v>3</v>
      </c>
      <c r="G487">
        <v>86.58</v>
      </c>
      <c r="H487">
        <v>15.78</v>
      </c>
    </row>
    <row r="488" spans="1:8" x14ac:dyDescent="0.3">
      <c r="A488" t="s">
        <v>511</v>
      </c>
      <c r="B488" s="1">
        <v>45932</v>
      </c>
      <c r="C488" t="s">
        <v>16</v>
      </c>
      <c r="D488" t="s">
        <v>17</v>
      </c>
      <c r="E488" t="s">
        <v>21</v>
      </c>
      <c r="F488">
        <v>3</v>
      </c>
      <c r="G488">
        <v>117.38</v>
      </c>
      <c r="H488">
        <v>24.28</v>
      </c>
    </row>
    <row r="489" spans="1:8" x14ac:dyDescent="0.3">
      <c r="A489" t="s">
        <v>512</v>
      </c>
      <c r="B489" s="1">
        <v>46015</v>
      </c>
      <c r="C489" t="s">
        <v>9</v>
      </c>
      <c r="D489" t="s">
        <v>10</v>
      </c>
      <c r="E489" t="s">
        <v>14</v>
      </c>
      <c r="F489">
        <v>5</v>
      </c>
      <c r="G489">
        <v>941.39</v>
      </c>
      <c r="H489">
        <v>234.68</v>
      </c>
    </row>
    <row r="490" spans="1:8" x14ac:dyDescent="0.3">
      <c r="A490" t="s">
        <v>513</v>
      </c>
      <c r="B490" s="1">
        <v>45702</v>
      </c>
      <c r="C490" t="s">
        <v>55</v>
      </c>
      <c r="D490" t="s">
        <v>10</v>
      </c>
      <c r="E490" t="s">
        <v>14</v>
      </c>
      <c r="F490">
        <v>4</v>
      </c>
      <c r="G490">
        <v>2400.31</v>
      </c>
      <c r="H490">
        <v>485.97</v>
      </c>
    </row>
    <row r="491" spans="1:8" x14ac:dyDescent="0.3">
      <c r="A491" t="s">
        <v>514</v>
      </c>
      <c r="B491" s="1">
        <v>45999</v>
      </c>
      <c r="C491" t="s">
        <v>55</v>
      </c>
      <c r="D491" t="s">
        <v>10</v>
      </c>
      <c r="E491" t="s">
        <v>11</v>
      </c>
      <c r="F491">
        <v>5</v>
      </c>
      <c r="G491">
        <v>3002.64</v>
      </c>
      <c r="H491">
        <v>665.33</v>
      </c>
    </row>
    <row r="492" spans="1:8" x14ac:dyDescent="0.3">
      <c r="A492" t="s">
        <v>515</v>
      </c>
      <c r="B492" s="1">
        <v>45912</v>
      </c>
      <c r="C492" t="s">
        <v>55</v>
      </c>
      <c r="D492" t="s">
        <v>10</v>
      </c>
      <c r="E492" t="s">
        <v>21</v>
      </c>
      <c r="F492">
        <v>3</v>
      </c>
      <c r="G492">
        <v>1958.97</v>
      </c>
      <c r="H492">
        <v>463.49</v>
      </c>
    </row>
    <row r="493" spans="1:8" x14ac:dyDescent="0.3">
      <c r="A493" t="s">
        <v>516</v>
      </c>
      <c r="B493" s="1">
        <v>45848</v>
      </c>
      <c r="C493" t="s">
        <v>32</v>
      </c>
      <c r="D493" t="s">
        <v>17</v>
      </c>
      <c r="E493" t="s">
        <v>11</v>
      </c>
      <c r="F493">
        <v>3</v>
      </c>
      <c r="G493">
        <v>188.99</v>
      </c>
      <c r="H493">
        <v>48.13</v>
      </c>
    </row>
    <row r="494" spans="1:8" x14ac:dyDescent="0.3">
      <c r="A494" t="s">
        <v>517</v>
      </c>
      <c r="B494" s="1">
        <v>45829</v>
      </c>
      <c r="C494" t="s">
        <v>9</v>
      </c>
      <c r="D494" t="s">
        <v>10</v>
      </c>
      <c r="E494" t="s">
        <v>14</v>
      </c>
      <c r="F494">
        <v>1</v>
      </c>
      <c r="G494">
        <v>171.79</v>
      </c>
      <c r="H494">
        <v>15.94</v>
      </c>
    </row>
    <row r="495" spans="1:8" x14ac:dyDescent="0.3">
      <c r="A495" t="s">
        <v>518</v>
      </c>
      <c r="B495" s="1">
        <v>45912</v>
      </c>
      <c r="C495" t="s">
        <v>27</v>
      </c>
      <c r="D495" t="s">
        <v>17</v>
      </c>
      <c r="E495" t="s">
        <v>14</v>
      </c>
      <c r="F495">
        <v>2</v>
      </c>
      <c r="G495">
        <v>60.13</v>
      </c>
      <c r="H495">
        <v>5.48</v>
      </c>
    </row>
    <row r="496" spans="1:8" x14ac:dyDescent="0.3">
      <c r="A496" t="s">
        <v>519</v>
      </c>
      <c r="B496" s="1">
        <v>45846</v>
      </c>
      <c r="C496" t="s">
        <v>27</v>
      </c>
      <c r="D496" t="s">
        <v>17</v>
      </c>
      <c r="E496" t="s">
        <v>11</v>
      </c>
      <c r="F496">
        <v>3</v>
      </c>
      <c r="G496">
        <v>85.59</v>
      </c>
      <c r="H496">
        <v>8.61</v>
      </c>
    </row>
    <row r="497" spans="1:8" x14ac:dyDescent="0.3">
      <c r="A497" t="s">
        <v>520</v>
      </c>
      <c r="B497" s="1">
        <v>45774</v>
      </c>
      <c r="C497" t="s">
        <v>27</v>
      </c>
      <c r="D497" t="s">
        <v>17</v>
      </c>
      <c r="E497" t="s">
        <v>30</v>
      </c>
      <c r="F497">
        <v>2</v>
      </c>
      <c r="G497">
        <v>54.53</v>
      </c>
      <c r="H497">
        <v>13.77</v>
      </c>
    </row>
    <row r="498" spans="1:8" x14ac:dyDescent="0.3">
      <c r="A498" t="s">
        <v>521</v>
      </c>
      <c r="B498" s="1">
        <v>45899</v>
      </c>
      <c r="C498" t="s">
        <v>16</v>
      </c>
      <c r="D498" t="s">
        <v>17</v>
      </c>
      <c r="E498" t="s">
        <v>21</v>
      </c>
      <c r="F498">
        <v>1</v>
      </c>
      <c r="G498">
        <v>39.06</v>
      </c>
      <c r="H498">
        <v>4.3</v>
      </c>
    </row>
    <row r="499" spans="1:8" x14ac:dyDescent="0.3">
      <c r="A499" t="s">
        <v>522</v>
      </c>
      <c r="B499" s="1">
        <v>45772</v>
      </c>
      <c r="C499" t="s">
        <v>55</v>
      </c>
      <c r="D499" t="s">
        <v>10</v>
      </c>
      <c r="E499" t="s">
        <v>21</v>
      </c>
      <c r="F499">
        <v>7</v>
      </c>
      <c r="G499">
        <v>4320.92</v>
      </c>
      <c r="H499">
        <v>1137.1400000000001</v>
      </c>
    </row>
    <row r="500" spans="1:8" x14ac:dyDescent="0.3">
      <c r="A500" t="s">
        <v>523</v>
      </c>
      <c r="B500" s="1">
        <v>45697</v>
      </c>
      <c r="C500" t="s">
        <v>25</v>
      </c>
      <c r="D500" t="s">
        <v>20</v>
      </c>
      <c r="E500" t="s">
        <v>21</v>
      </c>
      <c r="F500">
        <v>5</v>
      </c>
      <c r="G500">
        <v>1016.27</v>
      </c>
      <c r="H500">
        <v>218.16</v>
      </c>
    </row>
    <row r="501" spans="1:8" x14ac:dyDescent="0.3">
      <c r="A501" t="s">
        <v>524</v>
      </c>
      <c r="B501" s="1">
        <v>45772</v>
      </c>
      <c r="C501" t="s">
        <v>55</v>
      </c>
      <c r="D501" t="s">
        <v>10</v>
      </c>
      <c r="E501" t="s">
        <v>30</v>
      </c>
      <c r="F501">
        <v>3</v>
      </c>
      <c r="G501">
        <v>2127.09</v>
      </c>
      <c r="H501">
        <v>199.49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46A9-93E3-4C08-A756-73555A76AE98}">
  <dimension ref="A1:D72"/>
  <sheetViews>
    <sheetView workbookViewId="0">
      <selection activeCell="D1" sqref="D1"/>
    </sheetView>
  </sheetViews>
  <sheetFormatPr defaultRowHeight="14.4" x14ac:dyDescent="0.3"/>
  <cols>
    <col min="1" max="1" width="23.44140625" customWidth="1"/>
    <col min="2" max="2" width="13.6640625" customWidth="1"/>
    <col min="3" max="3" width="11.88671875" customWidth="1"/>
    <col min="4" max="4" width="13.77734375" customWidth="1"/>
  </cols>
  <sheetData>
    <row r="1" spans="1:4" x14ac:dyDescent="0.3">
      <c r="A1" s="14" t="s">
        <v>543</v>
      </c>
    </row>
    <row r="2" spans="1:4" x14ac:dyDescent="0.3">
      <c r="A2" s="16" t="s">
        <v>525</v>
      </c>
      <c r="B2" s="2">
        <f>COUNTA(Data!A:A)-1</f>
        <v>500</v>
      </c>
    </row>
    <row r="3" spans="1:4" x14ac:dyDescent="0.3">
      <c r="A3" s="16" t="s">
        <v>526</v>
      </c>
      <c r="B3" s="6">
        <f>SUM(Data!F:F)</f>
        <v>2274</v>
      </c>
    </row>
    <row r="4" spans="1:4" x14ac:dyDescent="0.3">
      <c r="A4" s="16" t="s">
        <v>527</v>
      </c>
      <c r="B4" s="2">
        <f>SUM(Data!G:G)</f>
        <v>374771.80000000022</v>
      </c>
    </row>
    <row r="5" spans="1:4" x14ac:dyDescent="0.3">
      <c r="A5" s="16" t="s">
        <v>528</v>
      </c>
      <c r="B5" s="2">
        <f>SUM(Data!H:H)</f>
        <v>68007.340000000127</v>
      </c>
    </row>
    <row r="7" spans="1:4" x14ac:dyDescent="0.3">
      <c r="A7" s="14" t="s">
        <v>544</v>
      </c>
    </row>
    <row r="8" spans="1:4" x14ac:dyDescent="0.3">
      <c r="A8" s="16" t="s">
        <v>2</v>
      </c>
      <c r="B8" s="16" t="s">
        <v>529</v>
      </c>
      <c r="C8" s="16" t="s">
        <v>527</v>
      </c>
      <c r="D8" s="16" t="s">
        <v>528</v>
      </c>
    </row>
    <row r="9" spans="1:4" x14ac:dyDescent="0.3">
      <c r="A9" s="2" t="s">
        <v>55</v>
      </c>
      <c r="B9" s="2">
        <f>SUMIF(Data!C:C,A9,Data!F:F)</f>
        <v>198</v>
      </c>
      <c r="C9" s="2">
        <f>SUMIF(Data!C:C,A9,Data!G:G)</f>
        <v>129730.52000000003</v>
      </c>
      <c r="D9" s="2">
        <f>SUMIF(Data!C:C,A9,Data!H:H)</f>
        <v>23617.000000000004</v>
      </c>
    </row>
    <row r="10" spans="1:4" x14ac:dyDescent="0.3">
      <c r="A10" s="2" t="s">
        <v>9</v>
      </c>
      <c r="B10" s="2">
        <f>SUMIF(Data!C:C,A10,Data!F:F)</f>
        <v>229</v>
      </c>
      <c r="C10" s="2">
        <f>SUMIF(Data!C:C,A10,Data!G:G)</f>
        <v>40956.999999999993</v>
      </c>
      <c r="D10" s="2">
        <f>SUMIF(Data!C:C,A10,Data!H:H)</f>
        <v>7929.6699999999992</v>
      </c>
    </row>
    <row r="11" spans="1:4" x14ac:dyDescent="0.3">
      <c r="A11" s="2" t="s">
        <v>23</v>
      </c>
      <c r="B11" s="2">
        <f>SUMIF(Data!C:C,A11,Data!F:F)</f>
        <v>261</v>
      </c>
      <c r="C11" s="2">
        <f>SUMIF(Data!C:C,A11,Data!G:G)</f>
        <v>6595.2800000000007</v>
      </c>
      <c r="D11" s="2">
        <f>SUMIF(Data!C:C,A11,Data!H:H)</f>
        <v>1171.5999999999999</v>
      </c>
    </row>
    <row r="12" spans="1:4" x14ac:dyDescent="0.3">
      <c r="A12" s="2" t="s">
        <v>16</v>
      </c>
      <c r="B12" s="2">
        <f>SUMIF(Data!C:C,A12,Data!F:F)</f>
        <v>202</v>
      </c>
      <c r="C12" s="2">
        <f>SUMIF(Data!C:C,A12,Data!G:G)</f>
        <v>7970.6600000000008</v>
      </c>
      <c r="D12" s="2">
        <f>SUMIF(Data!C:C,A12,Data!H:H)</f>
        <v>1597.5199999999998</v>
      </c>
    </row>
    <row r="13" spans="1:4" x14ac:dyDescent="0.3">
      <c r="A13" s="2" t="s">
        <v>32</v>
      </c>
      <c r="B13" s="2">
        <f>SUMIF(Data!C:C,A13,Data!F:F)</f>
        <v>244</v>
      </c>
      <c r="C13" s="2">
        <f>SUMIF(Data!C:C,A13,Data!G:G)</f>
        <v>14798.380000000003</v>
      </c>
      <c r="D13" s="2">
        <f>SUMIF(Data!C:C,A13,Data!H:H)</f>
        <v>2560.12</v>
      </c>
    </row>
    <row r="14" spans="1:4" x14ac:dyDescent="0.3">
      <c r="A14" s="2" t="s">
        <v>25</v>
      </c>
      <c r="B14" s="2">
        <f>SUMIF(Data!C:C,A14,Data!F:F)</f>
        <v>232</v>
      </c>
      <c r="C14" s="2">
        <f>SUMIF(Data!C:C,A14,Data!G:G)</f>
        <v>51194.250000000015</v>
      </c>
      <c r="D14" s="2">
        <f>SUMIF(Data!C:C,A14,Data!H:H)</f>
        <v>9656.4900000000016</v>
      </c>
    </row>
    <row r="15" spans="1:4" x14ac:dyDescent="0.3">
      <c r="A15" s="2" t="s">
        <v>19</v>
      </c>
      <c r="B15" s="2">
        <f>SUMIF(Data!C:C,A15,Data!F:F)</f>
        <v>209</v>
      </c>
      <c r="C15" s="2">
        <f>SUMIF(Data!C:C,A15,Data!G:G)</f>
        <v>62800.05</v>
      </c>
      <c r="D15" s="2">
        <f>SUMIF(Data!C:C,A15,Data!H:H)</f>
        <v>10656.549999999997</v>
      </c>
    </row>
    <row r="16" spans="1:4" x14ac:dyDescent="0.3">
      <c r="A16" s="2" t="s">
        <v>39</v>
      </c>
      <c r="B16" s="2">
        <f>SUMIF(Data!C:C,A16,Data!F:F)</f>
        <v>227</v>
      </c>
      <c r="C16" s="2">
        <f>SUMIF(Data!C:C,A16,Data!G:G)</f>
        <v>36156.89</v>
      </c>
      <c r="D16" s="2">
        <f>SUMIF(Data!C:C,A16,Data!H:H)</f>
        <v>6497.3799999999992</v>
      </c>
    </row>
    <row r="17" spans="1:4" x14ac:dyDescent="0.3">
      <c r="A17" s="2" t="s">
        <v>13</v>
      </c>
      <c r="B17" s="2">
        <f>SUMIF(Data!C:C,A17,Data!F:F)</f>
        <v>228</v>
      </c>
      <c r="C17" s="2">
        <f>SUMIF(Data!C:C,A17,Data!G:G)</f>
        <v>17155.04</v>
      </c>
      <c r="D17" s="2">
        <f>SUMIF(Data!C:C,A17,Data!H:H)</f>
        <v>2954.8500000000004</v>
      </c>
    </row>
    <row r="18" spans="1:4" x14ac:dyDescent="0.3">
      <c r="A18" s="2" t="s">
        <v>27</v>
      </c>
      <c r="B18" s="2">
        <f>SUMIF(Data!C:C,A18,Data!F:F)</f>
        <v>244</v>
      </c>
      <c r="C18" s="2">
        <f>SUMIF(Data!C:C,A18,Data!G:G)</f>
        <v>7413.73</v>
      </c>
      <c r="D18" s="2">
        <f>SUMIF(Data!C:C,A18,Data!H:H)</f>
        <v>1366.1599999999999</v>
      </c>
    </row>
    <row r="20" spans="1:4" x14ac:dyDescent="0.3">
      <c r="A20" s="14" t="s">
        <v>545</v>
      </c>
    </row>
    <row r="21" spans="1:4" x14ac:dyDescent="0.3">
      <c r="A21" s="16" t="s">
        <v>4</v>
      </c>
      <c r="B21" s="16" t="s">
        <v>525</v>
      </c>
      <c r="C21" s="16" t="s">
        <v>527</v>
      </c>
      <c r="D21" s="16" t="s">
        <v>528</v>
      </c>
    </row>
    <row r="22" spans="1:4" x14ac:dyDescent="0.3">
      <c r="A22" s="2" t="s">
        <v>30</v>
      </c>
      <c r="B22" s="2">
        <f>COUNTIF(Data!E:E,A22)</f>
        <v>137</v>
      </c>
      <c r="C22" s="2">
        <f>SUMIF(Data!E:E,A22,Data!G:G)</f>
        <v>113374.46999999999</v>
      </c>
      <c r="D22" s="2">
        <f>SUMIF(Data!E:E,A22,Data!H:H)</f>
        <v>20194.510000000009</v>
      </c>
    </row>
    <row r="23" spans="1:4" x14ac:dyDescent="0.3">
      <c r="A23" s="2" t="s">
        <v>11</v>
      </c>
      <c r="B23" s="2">
        <f>COUNTIF(Data!E:E,A23)</f>
        <v>114</v>
      </c>
      <c r="C23" s="2">
        <f>SUMIF(Data!E:E,A23,Data!G:G)</f>
        <v>85396.839999999967</v>
      </c>
      <c r="D23" s="2">
        <f>SUMIF(Data!E:E,A23,Data!H:H)</f>
        <v>15727.339999999998</v>
      </c>
    </row>
    <row r="24" spans="1:4" x14ac:dyDescent="0.3">
      <c r="A24" s="2" t="s">
        <v>21</v>
      </c>
      <c r="B24" s="2">
        <f>COUNTIF(Data!E:E,A24)</f>
        <v>119</v>
      </c>
      <c r="C24" s="2">
        <f>SUMIF(Data!E:E,A24,Data!G:G)</f>
        <v>94036.480000000054</v>
      </c>
      <c r="D24" s="2">
        <f>SUMIF(Data!E:E,A24,Data!H:H)</f>
        <v>17483.339999999997</v>
      </c>
    </row>
    <row r="25" spans="1:4" x14ac:dyDescent="0.3">
      <c r="A25" s="2" t="s">
        <v>14</v>
      </c>
      <c r="B25" s="2">
        <f>COUNTIF(Data!E:E,A25)</f>
        <v>130</v>
      </c>
      <c r="C25" s="2">
        <f>SUMIF(Data!E:E,A25,Data!G:G)</f>
        <v>81964.009999999995</v>
      </c>
      <c r="D25" s="2">
        <f>SUMIF(Data!E:E,A25,Data!H:H)</f>
        <v>14602.149999999992</v>
      </c>
    </row>
    <row r="27" spans="1:4" x14ac:dyDescent="0.3">
      <c r="A27" s="14" t="s">
        <v>546</v>
      </c>
    </row>
    <row r="28" spans="1:4" x14ac:dyDescent="0.3">
      <c r="A28" s="16" t="s">
        <v>3</v>
      </c>
      <c r="B28" s="16" t="s">
        <v>525</v>
      </c>
      <c r="C28" s="16" t="s">
        <v>527</v>
      </c>
      <c r="D28" s="16" t="s">
        <v>528</v>
      </c>
    </row>
    <row r="29" spans="1:4" x14ac:dyDescent="0.3">
      <c r="A29" s="2" t="s">
        <v>10</v>
      </c>
      <c r="B29" s="2">
        <f>COUNTIF(Data!D:D,A29)</f>
        <v>197</v>
      </c>
      <c r="C29" s="2">
        <f>SUMIF(Data!D:D,A29,Data!G:G)</f>
        <v>223999.44999999992</v>
      </c>
      <c r="D29" s="2">
        <f>SUMIF(Data!D:D,A29,Data!H:H)</f>
        <v>40998.900000000016</v>
      </c>
    </row>
    <row r="30" spans="1:4" x14ac:dyDescent="0.3">
      <c r="A30" s="2" t="s">
        <v>17</v>
      </c>
      <c r="B30" s="2">
        <f>COUNTIF(Data!D:D,A30)</f>
        <v>205</v>
      </c>
      <c r="C30" s="2">
        <f>SUMIF(Data!D:D,A30,Data!G:G)</f>
        <v>36778.049999999981</v>
      </c>
      <c r="D30" s="2">
        <f>SUMIF(Data!D:D,A30,Data!H:H)</f>
        <v>6695.3999999999978</v>
      </c>
    </row>
    <row r="31" spans="1:4" x14ac:dyDescent="0.3">
      <c r="A31" s="2" t="s">
        <v>20</v>
      </c>
      <c r="B31" s="2">
        <f>COUNTIF(Data!D:D,A31)</f>
        <v>98</v>
      </c>
      <c r="C31" s="2">
        <f>SUMIF(Data!D:D,A31,Data!G:G)</f>
        <v>113994.29999999997</v>
      </c>
      <c r="D31" s="2">
        <f>SUMIF(Data!D:D,A31,Data!H:H)</f>
        <v>20313.039999999997</v>
      </c>
    </row>
    <row r="33" spans="1:3" x14ac:dyDescent="0.3">
      <c r="A33" s="14" t="s">
        <v>547</v>
      </c>
    </row>
    <row r="34" spans="1:3" x14ac:dyDescent="0.3">
      <c r="A34" s="16" t="s">
        <v>530</v>
      </c>
      <c r="B34" s="16" t="s">
        <v>527</v>
      </c>
      <c r="C34" s="16" t="s">
        <v>528</v>
      </c>
    </row>
    <row r="35" spans="1:3" x14ac:dyDescent="0.3">
      <c r="A35" s="2" t="s">
        <v>531</v>
      </c>
      <c r="B35" s="2" cm="1">
        <f t="array" ref="B35">SUMPRODUCT((MONTH(Data!$B$2:$B$501)=ROW()-34)*Data!$G$2:$G$501)</f>
        <v>24899.799999999996</v>
      </c>
      <c r="C35" s="2" cm="1">
        <f t="array" ref="C35">SUMPRODUCT((MONTH(Data!$B$2:$B$501)=ROW()-34)*Data!$H$2:$H$501)</f>
        <v>4501.78</v>
      </c>
    </row>
    <row r="36" spans="1:3" x14ac:dyDescent="0.3">
      <c r="A36" s="2" t="s">
        <v>532</v>
      </c>
      <c r="B36" s="2" cm="1">
        <f t="array" ref="B36">SUMPRODUCT((MONTH(Data!$B$2:$B$501)=ROW()-34)*Data!$G$2:$G$501)</f>
        <v>30153.03000000001</v>
      </c>
      <c r="C36" s="2" cm="1">
        <f t="array" ref="C36">SUMPRODUCT((MONTH(Data!$B$2:$B$501)=ROW()-34)*Data!$H$2:$H$501)</f>
        <v>5316.8200000000015</v>
      </c>
    </row>
    <row r="37" spans="1:3" x14ac:dyDescent="0.3">
      <c r="A37" s="2" t="s">
        <v>533</v>
      </c>
      <c r="B37" s="2" cm="1">
        <f t="array" ref="B37">SUMPRODUCT((MONTH(Data!$B$2:$B$501)=ROW()-34)*Data!$G$2:$G$501)</f>
        <v>19529.989999999998</v>
      </c>
      <c r="C37" s="2" cm="1">
        <f t="array" ref="C37">SUMPRODUCT((MONTH(Data!$B$2:$B$501)=ROW()-34)*Data!$H$2:$H$501)</f>
        <v>4029.5599999999995</v>
      </c>
    </row>
    <row r="38" spans="1:3" x14ac:dyDescent="0.3">
      <c r="A38" s="2" t="s">
        <v>534</v>
      </c>
      <c r="B38" s="2" cm="1">
        <f t="array" ref="B38">SUMPRODUCT((MONTH(Data!$B$2:$B$501)=ROW()-34)*Data!$G$2:$G$501)</f>
        <v>40479.12999999999</v>
      </c>
      <c r="C38" s="2" cm="1">
        <f t="array" ref="C38">SUMPRODUCT((MONTH(Data!$B$2:$B$501)=ROW()-34)*Data!$H$2:$H$501)</f>
        <v>7218.4900000000007</v>
      </c>
    </row>
    <row r="39" spans="1:3" x14ac:dyDescent="0.3">
      <c r="A39" s="2" t="s">
        <v>535</v>
      </c>
      <c r="B39" s="2" cm="1">
        <f t="array" ref="B39">SUMPRODUCT((MONTH(Data!$B$2:$B$501)=ROW()-34)*Data!$G$2:$G$501)</f>
        <v>41506.310000000019</v>
      </c>
      <c r="C39" s="2" cm="1">
        <f t="array" ref="C39">SUMPRODUCT((MONTH(Data!$B$2:$B$501)=ROW()-34)*Data!$H$2:$H$501)</f>
        <v>7871.7499999999991</v>
      </c>
    </row>
    <row r="40" spans="1:3" x14ac:dyDescent="0.3">
      <c r="A40" s="2" t="s">
        <v>536</v>
      </c>
      <c r="B40" s="2" cm="1">
        <f t="array" ref="B40">SUMPRODUCT((MONTH(Data!$B$2:$B$501)=ROW()-34)*Data!$G$2:$G$501)</f>
        <v>39508.090000000011</v>
      </c>
      <c r="C40" s="2" cm="1">
        <f t="array" ref="C40">SUMPRODUCT((MONTH(Data!$B$2:$B$501)=ROW()-34)*Data!$H$2:$H$501)</f>
        <v>6910.2399999999989</v>
      </c>
    </row>
    <row r="41" spans="1:3" x14ac:dyDescent="0.3">
      <c r="A41" s="2" t="s">
        <v>537</v>
      </c>
      <c r="B41" s="2" cm="1">
        <f t="array" ref="B41">SUMPRODUCT((MONTH(Data!$B$2:$B$501)=ROW()-34)*Data!$G$2:$G$501)</f>
        <v>25939.469999999998</v>
      </c>
      <c r="C41" s="2" cm="1">
        <f t="array" ref="C41">SUMPRODUCT((MONTH(Data!$B$2:$B$501)=ROW()-34)*Data!$H$2:$H$501)</f>
        <v>5336.6100000000015</v>
      </c>
    </row>
    <row r="42" spans="1:3" x14ac:dyDescent="0.3">
      <c r="A42" s="2" t="s">
        <v>538</v>
      </c>
      <c r="B42" s="2" cm="1">
        <f t="array" ref="B42">SUMPRODUCT((MONTH(Data!$B$2:$B$501)=ROW()-34)*Data!$G$2:$G$501)</f>
        <v>23560.22</v>
      </c>
      <c r="C42" s="2" cm="1">
        <f t="array" ref="C42">SUMPRODUCT((MONTH(Data!$B$2:$B$501)=ROW()-34)*Data!$H$2:$H$501)</f>
        <v>3876.7799999999997</v>
      </c>
    </row>
    <row r="43" spans="1:3" x14ac:dyDescent="0.3">
      <c r="A43" s="2" t="s">
        <v>539</v>
      </c>
      <c r="B43" s="2" cm="1">
        <f t="array" ref="B43">SUMPRODUCT((MONTH(Data!$B$2:$B$501)=ROW()-34)*Data!$G$2:$G$501)</f>
        <v>34100.969999999994</v>
      </c>
      <c r="C43" s="2" cm="1">
        <f t="array" ref="C43">SUMPRODUCT((MONTH(Data!$B$2:$B$501)=ROW()-34)*Data!$H$2:$H$501)</f>
        <v>6476.9999999999991</v>
      </c>
    </row>
    <row r="44" spans="1:3" x14ac:dyDescent="0.3">
      <c r="A44" s="2" t="s">
        <v>540</v>
      </c>
      <c r="B44" s="2" cm="1">
        <f t="array" ref="B44">SUMPRODUCT((MONTH(Data!$B$2:$B$501)=ROW()-34)*Data!$G$2:$G$501)</f>
        <v>20621.769999999993</v>
      </c>
      <c r="C44" s="2" cm="1">
        <f t="array" ref="C44">SUMPRODUCT((MONTH(Data!$B$2:$B$501)=ROW()-34)*Data!$H$2:$H$501)</f>
        <v>3585.2400000000011</v>
      </c>
    </row>
    <row r="45" spans="1:3" x14ac:dyDescent="0.3">
      <c r="A45" s="2" t="s">
        <v>541</v>
      </c>
      <c r="B45" s="2" cm="1">
        <f t="array" ref="B45">SUMPRODUCT((MONTH(Data!$B$2:$B$501)=ROW()-34)*Data!$G$2:$G$501)</f>
        <v>32746.77</v>
      </c>
      <c r="C45" s="2" cm="1">
        <f t="array" ref="C45">SUMPRODUCT((MONTH(Data!$B$2:$B$501)=ROW()-34)*Data!$H$2:$H$501)</f>
        <v>5454.6600000000017</v>
      </c>
    </row>
    <row r="46" spans="1:3" x14ac:dyDescent="0.3">
      <c r="A46" s="2" t="s">
        <v>542</v>
      </c>
      <c r="B46" s="2" cm="1">
        <f t="array" ref="B46">SUMPRODUCT((MONTH(Data!$B$2:$B$501)=ROW()-34)*Data!$G$2:$G$501)</f>
        <v>41726.25</v>
      </c>
      <c r="C46" s="2" cm="1">
        <f t="array" ref="C46">SUMPRODUCT((MONTH(Data!$B$2:$B$501)=ROW()-34)*Data!$H$2:$H$501)</f>
        <v>7428.4100000000008</v>
      </c>
    </row>
    <row r="48" spans="1:3" ht="28.8" x14ac:dyDescent="0.3">
      <c r="A48" s="15" t="s">
        <v>548</v>
      </c>
    </row>
    <row r="49" spans="1:2" x14ac:dyDescent="0.3">
      <c r="A49" s="16" t="s">
        <v>2</v>
      </c>
      <c r="B49" s="16" t="s">
        <v>527</v>
      </c>
    </row>
    <row r="50" spans="1:2" x14ac:dyDescent="0.3">
      <c r="A50" s="2" t="s">
        <v>55</v>
      </c>
      <c r="B50" s="2">
        <f>SUMIF(Data!C:C,A50,Data!G:G)</f>
        <v>129730.52000000003</v>
      </c>
    </row>
    <row r="51" spans="1:2" x14ac:dyDescent="0.3">
      <c r="A51" s="2" t="s">
        <v>9</v>
      </c>
      <c r="B51" s="2">
        <f>SUMIF(Data!C:C,A51,Data!G:G)</f>
        <v>40956.999999999993</v>
      </c>
    </row>
    <row r="52" spans="1:2" x14ac:dyDescent="0.3">
      <c r="A52" s="2" t="s">
        <v>23</v>
      </c>
      <c r="B52" s="2">
        <f>SUMIF(Data!C:C,A52,Data!G:G)</f>
        <v>6595.2800000000007</v>
      </c>
    </row>
    <row r="53" spans="1:2" x14ac:dyDescent="0.3">
      <c r="A53" s="2" t="s">
        <v>16</v>
      </c>
      <c r="B53" s="2">
        <f>SUMIF(Data!C:C,A53,Data!G:G)</f>
        <v>7970.6600000000008</v>
      </c>
    </row>
    <row r="54" spans="1:2" x14ac:dyDescent="0.3">
      <c r="A54" s="2" t="s">
        <v>32</v>
      </c>
      <c r="B54" s="2">
        <f>SUMIF(Data!C:C,A54,Data!G:G)</f>
        <v>14798.380000000003</v>
      </c>
    </row>
    <row r="55" spans="1:2" x14ac:dyDescent="0.3">
      <c r="A55" s="2" t="s">
        <v>25</v>
      </c>
      <c r="B55" s="2">
        <f>SUMIF(Data!C:C,A55,Data!G:G)</f>
        <v>51194.250000000015</v>
      </c>
    </row>
    <row r="56" spans="1:2" x14ac:dyDescent="0.3">
      <c r="A56" s="2" t="s">
        <v>19</v>
      </c>
      <c r="B56" s="2">
        <f>SUMIF(Data!C:C,A56,Data!G:G)</f>
        <v>62800.05</v>
      </c>
    </row>
    <row r="57" spans="1:2" x14ac:dyDescent="0.3">
      <c r="A57" s="2" t="s">
        <v>39</v>
      </c>
      <c r="B57" s="2">
        <f>SUMIF(Data!C:C,A57,Data!G:G)</f>
        <v>36156.89</v>
      </c>
    </row>
    <row r="58" spans="1:2" x14ac:dyDescent="0.3">
      <c r="A58" s="2" t="s">
        <v>13</v>
      </c>
      <c r="B58" s="2">
        <f>SUMIF(Data!C:C,A58,Data!G:G)</f>
        <v>17155.04</v>
      </c>
    </row>
    <row r="59" spans="1:2" x14ac:dyDescent="0.3">
      <c r="A59" s="2" t="s">
        <v>27</v>
      </c>
      <c r="B59" s="2">
        <f>SUMIF(Data!C:C,A59,Data!G:G)</f>
        <v>7413.73</v>
      </c>
    </row>
    <row r="61" spans="1:2" x14ac:dyDescent="0.3">
      <c r="A61" s="14" t="s">
        <v>549</v>
      </c>
    </row>
    <row r="62" spans="1:2" x14ac:dyDescent="0.3">
      <c r="A62" s="16" t="s">
        <v>2</v>
      </c>
      <c r="B62" s="16" t="s">
        <v>528</v>
      </c>
    </row>
    <row r="63" spans="1:2" x14ac:dyDescent="0.3">
      <c r="A63" s="2" t="s">
        <v>55</v>
      </c>
      <c r="B63" s="2">
        <f>SUMIF(Data!C:C,A63,Data!H:H)</f>
        <v>23617.000000000004</v>
      </c>
    </row>
    <row r="64" spans="1:2" x14ac:dyDescent="0.3">
      <c r="A64" s="2" t="s">
        <v>9</v>
      </c>
      <c r="B64" s="2">
        <f>SUMIF(Data!C:C,A64,Data!H:H)</f>
        <v>7929.6699999999992</v>
      </c>
    </row>
    <row r="65" spans="1:2" x14ac:dyDescent="0.3">
      <c r="A65" s="2" t="s">
        <v>23</v>
      </c>
      <c r="B65" s="2">
        <f>SUMIF(Data!C:C,A65,Data!H:H)</f>
        <v>1171.5999999999999</v>
      </c>
    </row>
    <row r="66" spans="1:2" x14ac:dyDescent="0.3">
      <c r="A66" s="2" t="s">
        <v>16</v>
      </c>
      <c r="B66" s="2">
        <f>SUMIF(Data!C:C,A66,Data!H:H)</f>
        <v>1597.5199999999998</v>
      </c>
    </row>
    <row r="67" spans="1:2" x14ac:dyDescent="0.3">
      <c r="A67" s="2" t="s">
        <v>32</v>
      </c>
      <c r="B67" s="2">
        <f>SUMIF(Data!C:C,A67,Data!H:H)</f>
        <v>2560.12</v>
      </c>
    </row>
    <row r="68" spans="1:2" x14ac:dyDescent="0.3">
      <c r="A68" s="2" t="s">
        <v>25</v>
      </c>
      <c r="B68" s="2">
        <f>SUMIF(Data!C:C,A68,Data!H:H)</f>
        <v>9656.4900000000016</v>
      </c>
    </row>
    <row r="69" spans="1:2" x14ac:dyDescent="0.3">
      <c r="A69" s="2" t="s">
        <v>19</v>
      </c>
      <c r="B69" s="2">
        <f>SUMIF(Data!C:C,A69,Data!H:H)</f>
        <v>10656.549999999997</v>
      </c>
    </row>
    <row r="70" spans="1:2" x14ac:dyDescent="0.3">
      <c r="A70" s="2" t="s">
        <v>39</v>
      </c>
      <c r="B70" s="2">
        <f>SUMIF(Data!C:C,A70,Data!H:H)</f>
        <v>6497.3799999999992</v>
      </c>
    </row>
    <row r="71" spans="1:2" x14ac:dyDescent="0.3">
      <c r="A71" s="2" t="s">
        <v>13</v>
      </c>
      <c r="B71" s="2">
        <f>SUMIF(Data!C:C,A71,Data!H:H)</f>
        <v>2954.8500000000004</v>
      </c>
    </row>
    <row r="72" spans="1:2" x14ac:dyDescent="0.3">
      <c r="A72" s="2" t="s">
        <v>27</v>
      </c>
      <c r="B72" s="2">
        <f>SUMIF(Data!C:C,A72,Data!H:H)</f>
        <v>1366.1599999999999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FF30-4A05-42A6-95A8-842E9ECD6059}">
  <dimension ref="A1:L14"/>
  <sheetViews>
    <sheetView workbookViewId="0">
      <selection activeCell="L14" sqref="L14"/>
    </sheetView>
  </sheetViews>
  <sheetFormatPr defaultRowHeight="14.4" x14ac:dyDescent="0.3"/>
  <cols>
    <col min="1" max="1" width="14" bestFit="1" customWidth="1"/>
    <col min="2" max="2" width="11.6640625" bestFit="1" customWidth="1"/>
    <col min="3" max="3" width="12.109375" bestFit="1" customWidth="1"/>
  </cols>
  <sheetData>
    <row r="1" spans="1:12" x14ac:dyDescent="0.3">
      <c r="A1" s="17" t="s">
        <v>565</v>
      </c>
      <c r="B1" s="17"/>
    </row>
    <row r="3" spans="1:12" x14ac:dyDescent="0.3">
      <c r="A3" s="3" t="s">
        <v>550</v>
      </c>
      <c r="B3" t="s">
        <v>552</v>
      </c>
      <c r="C3" t="s">
        <v>553</v>
      </c>
    </row>
    <row r="4" spans="1:12" x14ac:dyDescent="0.3">
      <c r="A4" s="4" t="s">
        <v>9</v>
      </c>
      <c r="B4">
        <v>40956.999999999993</v>
      </c>
      <c r="C4">
        <v>7929.6699999999992</v>
      </c>
    </row>
    <row r="5" spans="1:12" x14ac:dyDescent="0.3">
      <c r="A5" s="4" t="s">
        <v>19</v>
      </c>
      <c r="B5">
        <v>62800.05</v>
      </c>
      <c r="C5">
        <v>10656.549999999997</v>
      </c>
    </row>
    <row r="6" spans="1:12" x14ac:dyDescent="0.3">
      <c r="A6" s="4" t="s">
        <v>32</v>
      </c>
      <c r="B6">
        <v>14798.380000000003</v>
      </c>
      <c r="C6">
        <v>2560.12</v>
      </c>
    </row>
    <row r="7" spans="1:12" x14ac:dyDescent="0.3">
      <c r="A7" s="4" t="s">
        <v>16</v>
      </c>
      <c r="B7">
        <v>7970.6600000000008</v>
      </c>
      <c r="C7">
        <v>1597.5199999999998</v>
      </c>
    </row>
    <row r="8" spans="1:12" x14ac:dyDescent="0.3">
      <c r="A8" s="4" t="s">
        <v>55</v>
      </c>
      <c r="B8">
        <v>129730.52000000003</v>
      </c>
      <c r="C8">
        <v>23617.000000000004</v>
      </c>
      <c r="L8" s="10"/>
    </row>
    <row r="9" spans="1:12" x14ac:dyDescent="0.3">
      <c r="A9" s="4" t="s">
        <v>25</v>
      </c>
      <c r="B9">
        <v>51194.250000000015</v>
      </c>
      <c r="C9">
        <v>9656.4900000000016</v>
      </c>
    </row>
    <row r="10" spans="1:12" x14ac:dyDescent="0.3">
      <c r="A10" s="4" t="s">
        <v>39</v>
      </c>
      <c r="B10">
        <v>36156.89</v>
      </c>
      <c r="C10">
        <v>6497.3799999999992</v>
      </c>
    </row>
    <row r="11" spans="1:12" x14ac:dyDescent="0.3">
      <c r="A11" s="4" t="s">
        <v>27</v>
      </c>
      <c r="B11">
        <v>7413.73</v>
      </c>
      <c r="C11">
        <v>1366.1599999999999</v>
      </c>
    </row>
    <row r="12" spans="1:12" x14ac:dyDescent="0.3">
      <c r="A12" s="4" t="s">
        <v>13</v>
      </c>
      <c r="B12">
        <v>17155.04</v>
      </c>
      <c r="C12">
        <v>2954.8500000000004</v>
      </c>
    </row>
    <row r="13" spans="1:12" x14ac:dyDescent="0.3">
      <c r="A13" s="4" t="s">
        <v>23</v>
      </c>
      <c r="B13">
        <v>6595.2800000000007</v>
      </c>
      <c r="C13">
        <v>1171.5999999999999</v>
      </c>
    </row>
    <row r="14" spans="1:12" x14ac:dyDescent="0.3">
      <c r="A14" s="4" t="s">
        <v>551</v>
      </c>
      <c r="B14">
        <v>374771.80000000005</v>
      </c>
      <c r="C14">
        <v>68007.340000000011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71EF-CC03-4DCB-A717-7BE6525B6F49}">
  <dimension ref="A1:C8"/>
  <sheetViews>
    <sheetView workbookViewId="0">
      <selection activeCell="E14" sqref="E14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1" spans="1:3" x14ac:dyDescent="0.3">
      <c r="A1" s="17" t="s">
        <v>566</v>
      </c>
      <c r="B1" s="17"/>
    </row>
    <row r="3" spans="1:3" x14ac:dyDescent="0.3">
      <c r="A3" s="3" t="s">
        <v>550</v>
      </c>
      <c r="B3" t="s">
        <v>552</v>
      </c>
      <c r="C3" t="s">
        <v>553</v>
      </c>
    </row>
    <row r="4" spans="1:3" x14ac:dyDescent="0.3">
      <c r="A4" s="4" t="s">
        <v>21</v>
      </c>
      <c r="B4">
        <v>94036.480000000054</v>
      </c>
      <c r="C4">
        <v>17483.339999999997</v>
      </c>
    </row>
    <row r="5" spans="1:3" x14ac:dyDescent="0.3">
      <c r="A5" s="4" t="s">
        <v>30</v>
      </c>
      <c r="B5">
        <v>113374.46999999999</v>
      </c>
      <c r="C5">
        <v>20194.510000000009</v>
      </c>
    </row>
    <row r="6" spans="1:3" x14ac:dyDescent="0.3">
      <c r="A6" s="4" t="s">
        <v>11</v>
      </c>
      <c r="B6">
        <v>85396.839999999967</v>
      </c>
      <c r="C6">
        <v>15727.339999999998</v>
      </c>
    </row>
    <row r="7" spans="1:3" x14ac:dyDescent="0.3">
      <c r="A7" s="4" t="s">
        <v>14</v>
      </c>
      <c r="B7">
        <v>81964.009999999995</v>
      </c>
      <c r="C7">
        <v>14602.149999999992</v>
      </c>
    </row>
    <row r="8" spans="1:3" x14ac:dyDescent="0.3">
      <c r="A8" s="4" t="s">
        <v>551</v>
      </c>
      <c r="B8">
        <v>374771.80000000005</v>
      </c>
      <c r="C8">
        <v>68007.34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1B3E-6936-410C-AEDC-AD6DD9B3D7E3}">
  <dimension ref="A1:C7"/>
  <sheetViews>
    <sheetView workbookViewId="0">
      <selection sqref="A1:B1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1" spans="1:3" x14ac:dyDescent="0.3">
      <c r="A1" s="17" t="s">
        <v>567</v>
      </c>
      <c r="B1" s="17"/>
    </row>
    <row r="3" spans="1:3" x14ac:dyDescent="0.3">
      <c r="A3" s="3" t="s">
        <v>550</v>
      </c>
      <c r="B3" t="s">
        <v>552</v>
      </c>
      <c r="C3" t="s">
        <v>553</v>
      </c>
    </row>
    <row r="4" spans="1:3" x14ac:dyDescent="0.3">
      <c r="A4" s="4" t="s">
        <v>17</v>
      </c>
      <c r="B4">
        <v>36778.049999999981</v>
      </c>
      <c r="C4">
        <v>6695.3999999999978</v>
      </c>
    </row>
    <row r="5" spans="1:3" x14ac:dyDescent="0.3">
      <c r="A5" s="4" t="s">
        <v>10</v>
      </c>
      <c r="B5">
        <v>223999.44999999992</v>
      </c>
      <c r="C5">
        <v>40998.900000000016</v>
      </c>
    </row>
    <row r="6" spans="1:3" x14ac:dyDescent="0.3">
      <c r="A6" s="4" t="s">
        <v>20</v>
      </c>
      <c r="B6">
        <v>113994.29999999997</v>
      </c>
      <c r="C6">
        <v>20313.039999999997</v>
      </c>
    </row>
    <row r="7" spans="1:3" x14ac:dyDescent="0.3">
      <c r="A7" s="4" t="s">
        <v>551</v>
      </c>
      <c r="B7">
        <v>374771.79999999987</v>
      </c>
      <c r="C7">
        <v>68007.340000000011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1114-1DB4-4E8A-A7BB-0A1C84721292}">
  <dimension ref="A1:I22"/>
  <sheetViews>
    <sheetView workbookViewId="0">
      <selection activeCell="E5" sqref="E5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1" spans="1:3" x14ac:dyDescent="0.3">
      <c r="A1" s="17" t="s">
        <v>568</v>
      </c>
      <c r="B1" s="17"/>
    </row>
    <row r="3" spans="1:3" x14ac:dyDescent="0.3">
      <c r="A3" s="3" t="s">
        <v>550</v>
      </c>
      <c r="B3" t="s">
        <v>552</v>
      </c>
      <c r="C3" t="s">
        <v>553</v>
      </c>
    </row>
    <row r="4" spans="1:3" x14ac:dyDescent="0.3">
      <c r="A4" s="4" t="s">
        <v>554</v>
      </c>
      <c r="B4">
        <v>24899.799999999996</v>
      </c>
      <c r="C4">
        <v>4501.78</v>
      </c>
    </row>
    <row r="5" spans="1:3" x14ac:dyDescent="0.3">
      <c r="A5" s="4" t="s">
        <v>555</v>
      </c>
      <c r="B5">
        <v>30153.03000000001</v>
      </c>
      <c r="C5">
        <v>5316.8200000000015</v>
      </c>
    </row>
    <row r="6" spans="1:3" x14ac:dyDescent="0.3">
      <c r="A6" s="4" t="s">
        <v>556</v>
      </c>
      <c r="B6">
        <v>19529.989999999998</v>
      </c>
      <c r="C6">
        <v>4029.5599999999995</v>
      </c>
    </row>
    <row r="7" spans="1:3" x14ac:dyDescent="0.3">
      <c r="A7" s="4" t="s">
        <v>557</v>
      </c>
      <c r="B7">
        <v>40479.12999999999</v>
      </c>
      <c r="C7">
        <v>7218.4900000000007</v>
      </c>
    </row>
    <row r="8" spans="1:3" x14ac:dyDescent="0.3">
      <c r="A8" s="4" t="s">
        <v>535</v>
      </c>
      <c r="B8">
        <v>41506.310000000019</v>
      </c>
      <c r="C8">
        <v>7871.7499999999991</v>
      </c>
    </row>
    <row r="9" spans="1:3" x14ac:dyDescent="0.3">
      <c r="A9" s="4" t="s">
        <v>558</v>
      </c>
      <c r="B9">
        <v>39508.090000000011</v>
      </c>
      <c r="C9">
        <v>6910.2399999999989</v>
      </c>
    </row>
    <row r="10" spans="1:3" x14ac:dyDescent="0.3">
      <c r="A10" s="4" t="s">
        <v>559</v>
      </c>
      <c r="B10">
        <v>25939.469999999998</v>
      </c>
      <c r="C10">
        <v>5336.6100000000015</v>
      </c>
    </row>
    <row r="11" spans="1:3" x14ac:dyDescent="0.3">
      <c r="A11" s="4" t="s">
        <v>560</v>
      </c>
      <c r="B11">
        <v>23560.22</v>
      </c>
      <c r="C11">
        <v>3876.7799999999997</v>
      </c>
    </row>
    <row r="12" spans="1:3" x14ac:dyDescent="0.3">
      <c r="A12" s="4" t="s">
        <v>561</v>
      </c>
      <c r="B12">
        <v>34100.969999999994</v>
      </c>
      <c r="C12">
        <v>6476.9999999999991</v>
      </c>
    </row>
    <row r="13" spans="1:3" x14ac:dyDescent="0.3">
      <c r="A13" s="4" t="s">
        <v>562</v>
      </c>
      <c r="B13">
        <v>20621.769999999993</v>
      </c>
      <c r="C13">
        <v>3585.2400000000011</v>
      </c>
    </row>
    <row r="14" spans="1:3" x14ac:dyDescent="0.3">
      <c r="A14" s="4" t="s">
        <v>563</v>
      </c>
      <c r="B14">
        <v>32746.77</v>
      </c>
      <c r="C14">
        <v>5454.6600000000017</v>
      </c>
    </row>
    <row r="15" spans="1:3" x14ac:dyDescent="0.3">
      <c r="A15" s="4" t="s">
        <v>564</v>
      </c>
      <c r="B15">
        <v>41726.25</v>
      </c>
      <c r="C15">
        <v>7428.4100000000008</v>
      </c>
    </row>
    <row r="16" spans="1:3" x14ac:dyDescent="0.3">
      <c r="A16" s="4" t="s">
        <v>551</v>
      </c>
      <c r="B16">
        <v>374771.80000000005</v>
      </c>
      <c r="C16">
        <v>68007.34</v>
      </c>
    </row>
    <row r="21" spans="9:9" x14ac:dyDescent="0.3">
      <c r="I21" s="11"/>
    </row>
    <row r="22" spans="9:9" x14ac:dyDescent="0.3">
      <c r="I22" s="11"/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3BAA-1888-4F22-ACAB-40D9D16F2960}">
  <dimension ref="A3:U31"/>
  <sheetViews>
    <sheetView tabSelected="1" zoomScale="55" zoomScaleNormal="55" workbookViewId="0">
      <selection activeCell="Q25" sqref="Q25"/>
    </sheetView>
  </sheetViews>
  <sheetFormatPr defaultRowHeight="14.4" x14ac:dyDescent="0.3"/>
  <cols>
    <col min="1" max="1" width="12.44140625" customWidth="1"/>
    <col min="2" max="2" width="13.33203125" customWidth="1"/>
    <col min="3" max="3" width="12.33203125" customWidth="1"/>
    <col min="4" max="4" width="12.44140625" customWidth="1"/>
    <col min="20" max="20" width="8.33203125" customWidth="1"/>
    <col min="21" max="21" width="9.21875" customWidth="1"/>
  </cols>
  <sheetData>
    <row r="3" spans="1:21" ht="15.6" x14ac:dyDescent="0.3">
      <c r="C3" s="7"/>
      <c r="D3" s="7"/>
    </row>
    <row r="4" spans="1:21" ht="18" x14ac:dyDescent="0.35">
      <c r="C4" s="8"/>
      <c r="D4" s="9"/>
    </row>
    <row r="5" spans="1:21" ht="15.6" x14ac:dyDescent="0.3">
      <c r="A5" s="18" t="s">
        <v>569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21" x14ac:dyDescent="0.3">
      <c r="A6" s="19" t="s">
        <v>525</v>
      </c>
      <c r="B6" s="19"/>
      <c r="C6" s="19"/>
      <c r="D6" s="19" t="s">
        <v>526</v>
      </c>
      <c r="E6" s="19"/>
      <c r="F6" s="19"/>
      <c r="G6" s="19" t="s">
        <v>527</v>
      </c>
      <c r="H6" s="19"/>
      <c r="I6" s="19"/>
      <c r="J6" s="19" t="s">
        <v>528</v>
      </c>
      <c r="K6" s="19"/>
      <c r="L6" s="19"/>
    </row>
    <row r="7" spans="1:21" x14ac:dyDescent="0.3">
      <c r="A7" s="19">
        <v>500</v>
      </c>
      <c r="B7" s="19"/>
      <c r="C7" s="19"/>
      <c r="D7" s="20">
        <v>2274</v>
      </c>
      <c r="E7" s="19"/>
      <c r="F7" s="19"/>
      <c r="G7" s="20">
        <v>374771.8</v>
      </c>
      <c r="H7" s="19"/>
      <c r="I7" s="19"/>
      <c r="J7" s="20">
        <v>68007.34</v>
      </c>
      <c r="K7" s="19"/>
      <c r="L7" s="19"/>
      <c r="U7" s="12"/>
    </row>
    <row r="8" spans="1:21" x14ac:dyDescent="0.3">
      <c r="U8" s="13"/>
    </row>
    <row r="9" spans="1:21" x14ac:dyDescent="0.3">
      <c r="U9" s="12"/>
    </row>
    <row r="10" spans="1:21" x14ac:dyDescent="0.3">
      <c r="U10" s="12"/>
    </row>
    <row r="31" spans="10:10" x14ac:dyDescent="0.3">
      <c r="J31" s="11"/>
    </row>
  </sheetData>
  <mergeCells count="9">
    <mergeCell ref="J6:L6"/>
    <mergeCell ref="A5:L5"/>
    <mergeCell ref="A7:C7"/>
    <mergeCell ref="D7:F7"/>
    <mergeCell ref="G7:I7"/>
    <mergeCell ref="J7:L7"/>
    <mergeCell ref="A6:C6"/>
    <mergeCell ref="D6:F6"/>
    <mergeCell ref="G6:I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Analysis</vt:lpstr>
      <vt:lpstr>Pivot_Product</vt:lpstr>
      <vt:lpstr>Pivot_Region</vt:lpstr>
      <vt:lpstr>Pivot_Category</vt:lpstr>
      <vt:lpstr>Pivot_Monthly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2026-10-03T10:04:52Z</cp:lastPrinted>
  <dcterms:created xsi:type="dcterms:W3CDTF">2015-06-05T18:17:20Z</dcterms:created>
  <dcterms:modified xsi:type="dcterms:W3CDTF">2026-10-04T07:53:43Z</dcterms:modified>
</cp:coreProperties>
</file>